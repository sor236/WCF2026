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Тимур\Прогнозы!\2026\DS\3\"/>
    </mc:Choice>
  </mc:AlternateContent>
  <bookViews>
    <workbookView xWindow="0" yWindow="0" windowWidth="28800" windowHeight="12330"/>
  </bookViews>
  <sheets>
    <sheet name="ЧМ 2026 Group" sheetId="1" r:id="rId1"/>
  </sheets>
  <definedNames>
    <definedName name="_xlnm.Print_Titles" localSheetId="0">'ЧМ 2026 Group'!$1:$2</definedName>
    <definedName name="_xlnm.Print_Area" localSheetId="0">'ЧМ 2026 Group'!$A$1:$AB$74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3" i="1" l="1"/>
  <c r="AB74" i="1" l="1"/>
  <c r="Y74" i="1"/>
  <c r="V74" i="1"/>
  <c r="S74" i="1"/>
  <c r="P74" i="1"/>
  <c r="AB73" i="1"/>
  <c r="Y73" i="1"/>
  <c r="V73" i="1"/>
  <c r="S73" i="1"/>
  <c r="P73" i="1"/>
  <c r="AB72" i="1"/>
  <c r="Y72" i="1"/>
  <c r="V72" i="1"/>
  <c r="S72" i="1"/>
  <c r="P72" i="1"/>
  <c r="AB71" i="1"/>
  <c r="Y71" i="1"/>
  <c r="V71" i="1"/>
  <c r="S71" i="1"/>
  <c r="P71" i="1"/>
  <c r="AB70" i="1"/>
  <c r="Y70" i="1"/>
  <c r="V70" i="1"/>
  <c r="S70" i="1"/>
  <c r="P70" i="1"/>
  <c r="AB69" i="1"/>
  <c r="Y69" i="1"/>
  <c r="V69" i="1"/>
  <c r="S69" i="1"/>
  <c r="P69" i="1"/>
  <c r="AB68" i="1"/>
  <c r="Y68" i="1"/>
  <c r="V68" i="1"/>
  <c r="S68" i="1"/>
  <c r="P68" i="1"/>
  <c r="AB67" i="1"/>
  <c r="Y67" i="1"/>
  <c r="V67" i="1"/>
  <c r="S67" i="1"/>
  <c r="P67" i="1"/>
  <c r="AB66" i="1"/>
  <c r="Y66" i="1"/>
  <c r="V66" i="1"/>
  <c r="S66" i="1"/>
  <c r="P66" i="1"/>
  <c r="AB65" i="1"/>
  <c r="Y65" i="1"/>
  <c r="V65" i="1"/>
  <c r="S65" i="1"/>
  <c r="P65" i="1"/>
  <c r="AB64" i="1"/>
  <c r="Y64" i="1"/>
  <c r="V64" i="1"/>
  <c r="S64" i="1"/>
  <c r="P64" i="1"/>
  <c r="AB63" i="1"/>
  <c r="Y63" i="1"/>
  <c r="V63" i="1"/>
  <c r="S63" i="1"/>
  <c r="P63" i="1"/>
  <c r="AB62" i="1"/>
  <c r="Y62" i="1"/>
  <c r="V62" i="1"/>
  <c r="S62" i="1"/>
  <c r="P62" i="1"/>
  <c r="AB61" i="1"/>
  <c r="Y61" i="1"/>
  <c r="V61" i="1"/>
  <c r="S61" i="1"/>
  <c r="P61" i="1"/>
  <c r="AB60" i="1"/>
  <c r="Y60" i="1"/>
  <c r="V60" i="1"/>
  <c r="S60" i="1"/>
  <c r="P60" i="1"/>
  <c r="AB59" i="1"/>
  <c r="Y59" i="1"/>
  <c r="V59" i="1"/>
  <c r="S59" i="1"/>
  <c r="P59" i="1"/>
  <c r="AB58" i="1"/>
  <c r="Y58" i="1"/>
  <c r="V58" i="1"/>
  <c r="S58" i="1"/>
  <c r="P58" i="1"/>
  <c r="AB57" i="1"/>
  <c r="Y57" i="1"/>
  <c r="V57" i="1"/>
  <c r="S57" i="1"/>
  <c r="P57" i="1"/>
  <c r="AB56" i="1"/>
  <c r="Y56" i="1"/>
  <c r="V56" i="1"/>
  <c r="S56" i="1"/>
  <c r="P56" i="1"/>
  <c r="AB55" i="1"/>
  <c r="Y55" i="1"/>
  <c r="V55" i="1"/>
  <c r="S55" i="1"/>
  <c r="P55" i="1"/>
  <c r="AB54" i="1"/>
  <c r="Y54" i="1"/>
  <c r="V54" i="1"/>
  <c r="S54" i="1"/>
  <c r="P54" i="1"/>
  <c r="AB53" i="1"/>
  <c r="Y53" i="1"/>
  <c r="V53" i="1"/>
  <c r="S53" i="1"/>
  <c r="P53" i="1"/>
  <c r="AB52" i="1"/>
  <c r="Y52" i="1"/>
  <c r="V52" i="1"/>
  <c r="S52" i="1"/>
  <c r="P52" i="1"/>
  <c r="M52" i="1"/>
  <c r="AB51" i="1"/>
  <c r="Y51" i="1"/>
  <c r="V51" i="1"/>
  <c r="S51" i="1"/>
  <c r="P51" i="1"/>
  <c r="M51" i="1"/>
  <c r="AB50" i="1"/>
  <c r="Y50" i="1"/>
  <c r="V50" i="1"/>
  <c r="S50" i="1"/>
  <c r="P50" i="1"/>
  <c r="M50" i="1"/>
  <c r="AB49" i="1"/>
  <c r="Y49" i="1"/>
  <c r="V49" i="1"/>
  <c r="S49" i="1"/>
  <c r="P49" i="1"/>
  <c r="M49" i="1"/>
  <c r="AB48" i="1"/>
  <c r="Y48" i="1"/>
  <c r="V48" i="1"/>
  <c r="S48" i="1"/>
  <c r="P48" i="1"/>
  <c r="M48" i="1"/>
  <c r="AB47" i="1"/>
  <c r="Y47" i="1"/>
  <c r="V47" i="1"/>
  <c r="S47" i="1"/>
  <c r="P47" i="1"/>
  <c r="M47" i="1"/>
  <c r="AB46" i="1"/>
  <c r="Y46" i="1"/>
  <c r="V46" i="1"/>
  <c r="S46" i="1"/>
  <c r="P46" i="1"/>
  <c r="M46" i="1"/>
  <c r="D46" i="1"/>
  <c r="D47" i="1" s="1"/>
  <c r="D48" i="1" s="1"/>
  <c r="D49" i="1" s="1"/>
  <c r="D50" i="1" s="1"/>
  <c r="D51" i="1" s="1"/>
  <c r="D52" i="1" s="1"/>
  <c r="AB45" i="1"/>
  <c r="Y45" i="1"/>
  <c r="V45" i="1"/>
  <c r="S45" i="1"/>
  <c r="P45" i="1"/>
  <c r="M45" i="1"/>
  <c r="AB44" i="1"/>
  <c r="Y44" i="1"/>
  <c r="V44" i="1"/>
  <c r="S44" i="1"/>
  <c r="P44" i="1"/>
  <c r="M44" i="1"/>
  <c r="AB43" i="1"/>
  <c r="Y43" i="1"/>
  <c r="V43" i="1"/>
  <c r="S43" i="1"/>
  <c r="P43" i="1"/>
  <c r="M43" i="1"/>
  <c r="AB42" i="1"/>
  <c r="Y42" i="1"/>
  <c r="V42" i="1"/>
  <c r="S42" i="1"/>
  <c r="P42" i="1"/>
  <c r="M42" i="1"/>
  <c r="AB41" i="1"/>
  <c r="Y41" i="1"/>
  <c r="V41" i="1"/>
  <c r="S41" i="1"/>
  <c r="P41" i="1"/>
  <c r="M41" i="1"/>
  <c r="AB40" i="1"/>
  <c r="Y40" i="1"/>
  <c r="V40" i="1"/>
  <c r="S40" i="1"/>
  <c r="P40" i="1"/>
  <c r="M40" i="1"/>
  <c r="AB39" i="1"/>
  <c r="Y39" i="1"/>
  <c r="V39" i="1"/>
  <c r="S39" i="1"/>
  <c r="P39" i="1"/>
  <c r="M39" i="1"/>
  <c r="AB38" i="1"/>
  <c r="Y38" i="1"/>
  <c r="V38" i="1"/>
  <c r="S38" i="1"/>
  <c r="P38" i="1"/>
  <c r="M38" i="1"/>
  <c r="AB37" i="1"/>
  <c r="Y37" i="1"/>
  <c r="V37" i="1"/>
  <c r="S37" i="1"/>
  <c r="P37" i="1"/>
  <c r="M37" i="1"/>
  <c r="AB36" i="1"/>
  <c r="Y36" i="1"/>
  <c r="V36" i="1"/>
  <c r="S36" i="1"/>
  <c r="P36" i="1"/>
  <c r="M36" i="1"/>
  <c r="AB35" i="1"/>
  <c r="Y35" i="1"/>
  <c r="V35" i="1"/>
  <c r="S35" i="1"/>
  <c r="P35" i="1"/>
  <c r="M35" i="1"/>
  <c r="AB34" i="1"/>
  <c r="Y34" i="1"/>
  <c r="V34" i="1"/>
  <c r="S34" i="1"/>
  <c r="P34" i="1"/>
  <c r="M34" i="1"/>
  <c r="D34" i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AB33" i="1"/>
  <c r="Y33" i="1"/>
  <c r="V33" i="1"/>
  <c r="S33" i="1"/>
  <c r="P33" i="1"/>
  <c r="M33" i="1"/>
  <c r="AB32" i="1"/>
  <c r="Y32" i="1"/>
  <c r="V32" i="1"/>
  <c r="S32" i="1"/>
  <c r="P32" i="1"/>
  <c r="M32" i="1"/>
  <c r="AB31" i="1"/>
  <c r="Y31" i="1"/>
  <c r="V31" i="1"/>
  <c r="S31" i="1"/>
  <c r="P31" i="1"/>
  <c r="M31" i="1"/>
  <c r="AB30" i="1"/>
  <c r="Y30" i="1"/>
  <c r="V30" i="1"/>
  <c r="S30" i="1"/>
  <c r="P30" i="1"/>
  <c r="M30" i="1"/>
  <c r="AB29" i="1"/>
  <c r="Y29" i="1"/>
  <c r="V29" i="1"/>
  <c r="S29" i="1"/>
  <c r="P29" i="1"/>
  <c r="M29" i="1"/>
  <c r="AB28" i="1"/>
  <c r="Y28" i="1"/>
  <c r="V28" i="1"/>
  <c r="S28" i="1"/>
  <c r="P28" i="1"/>
  <c r="M28" i="1"/>
  <c r="AB27" i="1"/>
  <c r="Y27" i="1"/>
  <c r="V27" i="1"/>
  <c r="S27" i="1"/>
  <c r="P27" i="1"/>
  <c r="M27" i="1"/>
  <c r="AB26" i="1"/>
  <c r="Y26" i="1"/>
  <c r="V26" i="1"/>
  <c r="S26" i="1"/>
  <c r="P26" i="1"/>
  <c r="M26" i="1"/>
  <c r="AB25" i="1"/>
  <c r="Y25" i="1"/>
  <c r="V25" i="1"/>
  <c r="S25" i="1"/>
  <c r="P25" i="1"/>
  <c r="M25" i="1"/>
  <c r="AB24" i="1"/>
  <c r="Y24" i="1"/>
  <c r="V24" i="1"/>
  <c r="S24" i="1"/>
  <c r="P24" i="1"/>
  <c r="M24" i="1"/>
  <c r="AB23" i="1"/>
  <c r="Y23" i="1"/>
  <c r="V23" i="1"/>
  <c r="S23" i="1"/>
  <c r="P23" i="1"/>
  <c r="M23" i="1"/>
  <c r="AB22" i="1"/>
  <c r="Y22" i="1"/>
  <c r="V22" i="1"/>
  <c r="S22" i="1"/>
  <c r="P22" i="1"/>
  <c r="M22" i="1"/>
  <c r="AB21" i="1"/>
  <c r="Y21" i="1"/>
  <c r="V21" i="1"/>
  <c r="S21" i="1"/>
  <c r="P21" i="1"/>
  <c r="M21" i="1"/>
  <c r="D21" i="1"/>
  <c r="D22" i="1" s="1"/>
  <c r="D23" i="1" s="1"/>
  <c r="AB20" i="1"/>
  <c r="Y20" i="1"/>
  <c r="V20" i="1"/>
  <c r="S20" i="1"/>
  <c r="P20" i="1"/>
  <c r="M20" i="1"/>
  <c r="AB19" i="1"/>
  <c r="Y19" i="1"/>
  <c r="V19" i="1"/>
  <c r="S19" i="1"/>
  <c r="P19" i="1"/>
  <c r="M19" i="1"/>
  <c r="AB18" i="1"/>
  <c r="Y18" i="1"/>
  <c r="V18" i="1"/>
  <c r="S18" i="1"/>
  <c r="P18" i="1"/>
  <c r="M18" i="1"/>
  <c r="D18" i="1"/>
  <c r="D19" i="1" s="1"/>
  <c r="AB17" i="1"/>
  <c r="Y17" i="1"/>
  <c r="V17" i="1"/>
  <c r="S17" i="1"/>
  <c r="P17" i="1"/>
  <c r="M17" i="1"/>
  <c r="AB16" i="1"/>
  <c r="Y16" i="1"/>
  <c r="V16" i="1"/>
  <c r="S16" i="1"/>
  <c r="P16" i="1"/>
  <c r="M16" i="1"/>
  <c r="AB15" i="1"/>
  <c r="Y15" i="1"/>
  <c r="V15" i="1"/>
  <c r="S15" i="1"/>
  <c r="P15" i="1"/>
  <c r="M15" i="1"/>
  <c r="AB14" i="1"/>
  <c r="Y14" i="1"/>
  <c r="V14" i="1"/>
  <c r="S14" i="1"/>
  <c r="P14" i="1"/>
  <c r="M14" i="1"/>
  <c r="AB13" i="1"/>
  <c r="Y13" i="1"/>
  <c r="V13" i="1"/>
  <c r="S13" i="1"/>
  <c r="P13" i="1"/>
  <c r="M13" i="1"/>
  <c r="AB12" i="1"/>
  <c r="Y12" i="1"/>
  <c r="V12" i="1"/>
  <c r="S12" i="1"/>
  <c r="P12" i="1"/>
  <c r="M12" i="1"/>
  <c r="AB11" i="1"/>
  <c r="Y11" i="1"/>
  <c r="V11" i="1"/>
  <c r="S11" i="1"/>
  <c r="P11" i="1"/>
  <c r="M11" i="1"/>
  <c r="AB10" i="1"/>
  <c r="Y10" i="1"/>
  <c r="V10" i="1"/>
  <c r="S10" i="1"/>
  <c r="P10" i="1"/>
  <c r="M10" i="1"/>
  <c r="AB9" i="1"/>
  <c r="Y9" i="1"/>
  <c r="V9" i="1"/>
  <c r="S9" i="1"/>
  <c r="P9" i="1"/>
  <c r="M9" i="1"/>
  <c r="AB8" i="1"/>
  <c r="Y8" i="1"/>
  <c r="V8" i="1"/>
  <c r="S8" i="1"/>
  <c r="P8" i="1"/>
  <c r="M8" i="1"/>
  <c r="AB7" i="1"/>
  <c r="Y7" i="1"/>
  <c r="V7" i="1"/>
  <c r="S7" i="1"/>
  <c r="P7" i="1"/>
  <c r="M7" i="1"/>
  <c r="AB6" i="1"/>
  <c r="Y6" i="1"/>
  <c r="V6" i="1"/>
  <c r="S6" i="1"/>
  <c r="P6" i="1"/>
  <c r="M6" i="1"/>
  <c r="AB5" i="1"/>
  <c r="Y5" i="1"/>
  <c r="V5" i="1"/>
  <c r="S5" i="1"/>
  <c r="P5" i="1"/>
  <c r="M5" i="1"/>
  <c r="AB4" i="1"/>
  <c r="Y4" i="1"/>
  <c r="V4" i="1"/>
  <c r="S4" i="1"/>
  <c r="P4" i="1"/>
  <c r="M4" i="1"/>
  <c r="D4" i="1"/>
  <c r="D5" i="1" s="1"/>
  <c r="D6" i="1" s="1"/>
  <c r="D7" i="1" s="1"/>
  <c r="D8" i="1" s="1"/>
  <c r="AB3" i="1"/>
  <c r="V3" i="1"/>
  <c r="S3" i="1"/>
  <c r="P3" i="1"/>
  <c r="M3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D9" i="1" l="1"/>
  <c r="D10" i="1" s="1"/>
  <c r="D11" i="1"/>
  <c r="D12" i="1" s="1"/>
  <c r="D13" i="1" s="1"/>
  <c r="D14" i="1" s="1"/>
  <c r="D15" i="1" s="1"/>
  <c r="D16" i="1" s="1"/>
  <c r="D24" i="1"/>
  <c r="D27" i="1" s="1"/>
  <c r="D28" i="1" s="1"/>
  <c r="D29" i="1" s="1"/>
  <c r="D30" i="1" s="1"/>
  <c r="D31" i="1" s="1"/>
  <c r="D32" i="1" s="1"/>
  <c r="D26" i="1"/>
  <c r="D25" i="1"/>
</calcChain>
</file>

<file path=xl/sharedStrings.xml><?xml version="1.0" encoding="utf-8"?>
<sst xmlns="http://schemas.openxmlformats.org/spreadsheetml/2006/main" count="268" uniqueCount="94">
  <si>
    <t>Гр.</t>
  </si>
  <si>
    <t>Time</t>
  </si>
  <si>
    <t>Date</t>
  </si>
  <si>
    <t>МАТЧ</t>
  </si>
  <si>
    <t>Счет матча</t>
  </si>
  <si>
    <t>Антон</t>
  </si>
  <si>
    <t>Георгий</t>
  </si>
  <si>
    <t>Герман</t>
  </si>
  <si>
    <t>Олег</t>
  </si>
  <si>
    <t>Тимур</t>
  </si>
  <si>
    <t>Юрий</t>
  </si>
  <si>
    <t>A</t>
  </si>
  <si>
    <t>22:00</t>
  </si>
  <si>
    <t>Мексика</t>
  </si>
  <si>
    <t>ЮАР</t>
  </si>
  <si>
    <t>А</t>
  </si>
  <si>
    <t>05:00</t>
  </si>
  <si>
    <t>Южная Корея</t>
  </si>
  <si>
    <t>Чехия</t>
  </si>
  <si>
    <t>B</t>
  </si>
  <si>
    <t>Канада </t>
  </si>
  <si>
    <t>Босния и Герцеговина</t>
  </si>
  <si>
    <t>D</t>
  </si>
  <si>
    <t>04:00</t>
  </si>
  <si>
    <t>США</t>
  </si>
  <si>
    <t>Парагвай</t>
  </si>
  <si>
    <t>Катар</t>
  </si>
  <si>
    <t>Швейцария</t>
  </si>
  <si>
    <t>C</t>
  </si>
  <si>
    <t>01:00</t>
  </si>
  <si>
    <t>Бразилия</t>
  </si>
  <si>
    <t>Марокко</t>
  </si>
  <si>
    <t>Гаити</t>
  </si>
  <si>
    <t>Шотландия</t>
  </si>
  <si>
    <t>07:00</t>
  </si>
  <si>
    <t>Австралия</t>
  </si>
  <si>
    <t>Турция</t>
  </si>
  <si>
    <t>E</t>
  </si>
  <si>
    <t>20:00</t>
  </si>
  <si>
    <t>Германия</t>
  </si>
  <si>
    <t>Кюрасао</t>
  </si>
  <si>
    <t>F</t>
  </si>
  <si>
    <t>23:00</t>
  </si>
  <si>
    <t>Нидерланды</t>
  </si>
  <si>
    <t>Япония</t>
  </si>
  <si>
    <t>Кот-д’Ивуар</t>
  </si>
  <si>
    <t>Эквадор</t>
  </si>
  <si>
    <t>Швеция</t>
  </si>
  <si>
    <t>Тунис</t>
  </si>
  <si>
    <t>H</t>
  </si>
  <si>
    <t>Испания</t>
  </si>
  <si>
    <t>Кабо-Верде</t>
  </si>
  <si>
    <t>G</t>
  </si>
  <si>
    <t>Бельгия</t>
  </si>
  <si>
    <t>Египет</t>
  </si>
  <si>
    <t>Саудовская Аравия</t>
  </si>
  <si>
    <t>Уругвай</t>
  </si>
  <si>
    <t>Иран</t>
  </si>
  <si>
    <t>Новая Зеландия</t>
  </si>
  <si>
    <t>I</t>
  </si>
  <si>
    <t>Франция</t>
  </si>
  <si>
    <t>Сенегал</t>
  </si>
  <si>
    <t>Ирак</t>
  </si>
  <si>
    <t>Норвегия</t>
  </si>
  <si>
    <t>J</t>
  </si>
  <si>
    <t>Аргентина</t>
  </si>
  <si>
    <t>Алжир</t>
  </si>
  <si>
    <t>Австрия</t>
  </si>
  <si>
    <t>Иордания</t>
  </si>
  <si>
    <t>K</t>
  </si>
  <si>
    <t>Португалия</t>
  </si>
  <si>
    <t>ДР Конго</t>
  </si>
  <si>
    <t>L</t>
  </si>
  <si>
    <t>Англия</t>
  </si>
  <si>
    <t>Хорватия</t>
  </si>
  <si>
    <t>Гана</t>
  </si>
  <si>
    <t>Панама</t>
  </si>
  <si>
    <t>Узбекистан</t>
  </si>
  <si>
    <t>Колумбия</t>
  </si>
  <si>
    <t>19:00</t>
  </si>
  <si>
    <t>Канада</t>
  </si>
  <si>
    <t>Хозяева</t>
  </si>
  <si>
    <t>Гости</t>
  </si>
  <si>
    <t>Счет хозяев</t>
  </si>
  <si>
    <t>Счет гостей</t>
  </si>
  <si>
    <t>Дата</t>
  </si>
  <si>
    <t>Время</t>
  </si>
  <si>
    <t>Группа</t>
  </si>
  <si>
    <t>№ матча</t>
  </si>
  <si>
    <t>Прогноз хозяева</t>
  </si>
  <si>
    <t>Прогноз гости</t>
  </si>
  <si>
    <t>Антон Прогноз хозяева</t>
  </si>
  <si>
    <t>Антон Прогноз гости</t>
  </si>
  <si>
    <t>Очки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</si>
</sst>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h:mm;@"/>
  </numFmts>
  <fonts count="9" x14ac:knownFonts="1">
    <font>
      <sz val="12"/>
      <color theme="1"/>
      <name val="Times New Roman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b/>
      <sz val="14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14"/>
      <name val="Times New Roman"/>
      <family val="1"/>
      <charset val="204"/>
    </font>
    <font>
      <u/>
      <sz val="12"/>
      <color theme="10"/>
      <name val="Times New Roman"/>
      <family val="2"/>
      <charset val="204"/>
    </font>
    <font>
      <b/>
      <sz val="10"/>
      <color theme="1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 diagonalDown="1"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 style="hair">
        <color indexed="64"/>
      </diagonal>
    </border>
    <border diagonalDown="1">
      <left style="thin">
        <color indexed="64"/>
      </left>
      <right/>
      <top style="medium">
        <color indexed="64"/>
      </top>
      <bottom style="medium">
        <color indexed="64"/>
      </bottom>
      <diagonal style="hair">
        <color indexed="64"/>
      </diagonal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7" fillId="0" borderId="0" applyNumberFormat="0" applyFill="0" applyBorder="0" applyAlignment="0" applyProtection="0"/>
  </cellStyleXfs>
  <cellXfs count="388">
    <xf numFmtId="0" fontId="0" fillId="0" borderId="0" xfId="0"/>
    <xf numFmtId="0" fontId="2" fillId="2" borderId="2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0" borderId="0" xfId="1" applyFont="1"/>
    <xf numFmtId="0" fontId="2" fillId="2" borderId="14" xfId="1" applyFont="1" applyFill="1" applyBorder="1" applyAlignment="1">
      <alignment horizontal="center" vertical="center" wrapText="1"/>
    </xf>
    <xf numFmtId="0" fontId="2" fillId="3" borderId="14" xfId="1" applyFont="1" applyFill="1" applyBorder="1" applyAlignment="1">
      <alignment horizontal="center" vertical="center"/>
    </xf>
    <xf numFmtId="0" fontId="2" fillId="0" borderId="14" xfId="1" applyFont="1" applyFill="1" applyBorder="1" applyAlignment="1">
      <alignment horizontal="center" vertical="center"/>
    </xf>
    <xf numFmtId="0" fontId="2" fillId="4" borderId="14" xfId="1" applyFont="1" applyFill="1" applyBorder="1" applyAlignment="1">
      <alignment horizontal="center" vertical="center"/>
    </xf>
    <xf numFmtId="0" fontId="2" fillId="5" borderId="14" xfId="1" applyFont="1" applyFill="1" applyBorder="1" applyAlignment="1">
      <alignment horizontal="center" vertical="center"/>
    </xf>
    <xf numFmtId="0" fontId="4" fillId="0" borderId="14" xfId="1" applyFont="1" applyBorder="1" applyAlignment="1">
      <alignment horizontal="center" vertical="center"/>
    </xf>
    <xf numFmtId="49" fontId="4" fillId="0" borderId="14" xfId="1" applyNumberFormat="1" applyFont="1" applyBorder="1" applyAlignment="1">
      <alignment horizontal="center" vertical="center"/>
    </xf>
    <xf numFmtId="164" fontId="4" fillId="0" borderId="14" xfId="1" applyNumberFormat="1" applyFont="1" applyBorder="1" applyAlignment="1">
      <alignment horizontal="center" vertical="center"/>
    </xf>
    <xf numFmtId="14" fontId="5" fillId="0" borderId="14" xfId="0" applyNumberFormat="1" applyFont="1" applyBorder="1" applyAlignment="1">
      <alignment horizontal="center" vertical="center"/>
    </xf>
    <xf numFmtId="14" fontId="6" fillId="0" borderId="14" xfId="0" applyNumberFormat="1" applyFont="1" applyBorder="1" applyAlignment="1">
      <alignment horizontal="left" vertical="center"/>
    </xf>
    <xf numFmtId="0" fontId="2" fillId="2" borderId="14" xfId="1" applyFont="1" applyFill="1" applyBorder="1" applyAlignment="1">
      <alignment horizontal="center" vertical="center"/>
    </xf>
    <xf numFmtId="0" fontId="2" fillId="0" borderId="19" xfId="0" applyFont="1" applyBorder="1" applyAlignment="1" applyProtection="1">
      <alignment horizontal="center" vertical="center"/>
      <protection locked="0"/>
    </xf>
    <xf numFmtId="0" fontId="2" fillId="0" borderId="20" xfId="0" applyFont="1" applyBorder="1" applyAlignment="1" applyProtection="1">
      <alignment horizontal="center" vertical="center"/>
      <protection locked="0"/>
    </xf>
    <xf numFmtId="0" fontId="2" fillId="3" borderId="19" xfId="1" applyFont="1" applyFill="1" applyBorder="1" applyAlignment="1">
      <alignment horizontal="center" vertical="center"/>
    </xf>
    <xf numFmtId="0" fontId="2" fillId="3" borderId="21" xfId="1" applyFont="1" applyFill="1" applyBorder="1" applyAlignment="1">
      <alignment horizontal="center" vertical="center"/>
    </xf>
    <xf numFmtId="0" fontId="2" fillId="0" borderId="19" xfId="0" applyFont="1" applyFill="1" applyBorder="1" applyAlignment="1">
      <alignment horizontal="center" vertical="center"/>
    </xf>
    <xf numFmtId="0" fontId="2" fillId="0" borderId="21" xfId="0" applyFont="1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6" borderId="14" xfId="1" applyFont="1" applyFill="1" applyBorder="1" applyAlignment="1">
      <alignment horizontal="center" vertical="center"/>
    </xf>
    <xf numFmtId="0" fontId="2" fillId="5" borderId="19" xfId="0" applyFont="1" applyFill="1" applyBorder="1" applyAlignment="1">
      <alignment horizontal="center" vertical="center"/>
    </xf>
    <xf numFmtId="0" fontId="2" fillId="5" borderId="21" xfId="0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/>
    </xf>
    <xf numFmtId="164" fontId="4" fillId="0" borderId="1" xfId="1" applyNumberFormat="1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left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5" xfId="0" applyFont="1" applyBorder="1" applyAlignment="1" applyProtection="1">
      <alignment horizontal="center" vertical="center"/>
      <protection locked="0"/>
    </xf>
    <xf numFmtId="0" fontId="2" fillId="0" borderId="6" xfId="0" applyFont="1" applyBorder="1" applyAlignment="1" applyProtection="1">
      <alignment horizontal="center" vertical="center"/>
      <protection locked="0"/>
    </xf>
    <xf numFmtId="0" fontId="2" fillId="3" borderId="5" xfId="1" applyFont="1" applyFill="1" applyBorder="1" applyAlignment="1">
      <alignment horizontal="center" vertical="center"/>
    </xf>
    <xf numFmtId="0" fontId="2" fillId="3" borderId="22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22" xfId="0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/>
    </xf>
    <xf numFmtId="0" fontId="2" fillId="4" borderId="1" xfId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6" borderId="1" xfId="1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22" xfId="0" applyFont="1" applyFill="1" applyBorder="1" applyAlignment="1">
      <alignment horizontal="center" vertical="center"/>
    </xf>
    <xf numFmtId="0" fontId="2" fillId="5" borderId="1" xfId="1" applyFont="1" applyFill="1" applyBorder="1" applyAlignment="1">
      <alignment horizontal="center" vertical="center"/>
    </xf>
    <xf numFmtId="0" fontId="2" fillId="0" borderId="23" xfId="1" applyFont="1" applyFill="1" applyBorder="1" applyAlignment="1">
      <alignment horizontal="center" vertical="center"/>
    </xf>
    <xf numFmtId="0" fontId="2" fillId="5" borderId="26" xfId="1" applyFont="1" applyFill="1" applyBorder="1" applyAlignment="1">
      <alignment horizontal="center" vertical="center"/>
    </xf>
    <xf numFmtId="0" fontId="2" fillId="4" borderId="26" xfId="1" applyFont="1" applyFill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49" fontId="4" fillId="0" borderId="10" xfId="1" applyNumberFormat="1" applyFont="1" applyBorder="1" applyAlignment="1">
      <alignment horizontal="center" vertical="center"/>
    </xf>
    <xf numFmtId="164" fontId="4" fillId="0" borderId="10" xfId="1" applyNumberFormat="1" applyFont="1" applyBorder="1" applyAlignment="1">
      <alignment horizontal="center" vertical="center"/>
    </xf>
    <xf numFmtId="14" fontId="5" fillId="0" borderId="10" xfId="0" applyNumberFormat="1" applyFont="1" applyBorder="1" applyAlignment="1">
      <alignment horizontal="center" vertical="center"/>
    </xf>
    <xf numFmtId="0" fontId="6" fillId="0" borderId="10" xfId="0" applyFont="1" applyBorder="1" applyAlignment="1">
      <alignment horizontal="left"/>
    </xf>
    <xf numFmtId="14" fontId="6" fillId="0" borderId="10" xfId="0" applyNumberFormat="1" applyFont="1" applyBorder="1" applyAlignment="1">
      <alignment horizontal="left" vertical="center"/>
    </xf>
    <xf numFmtId="0" fontId="2" fillId="2" borderId="10" xfId="1" applyFont="1" applyFill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locked="0"/>
    </xf>
    <xf numFmtId="0" fontId="2" fillId="0" borderId="16" xfId="0" applyFont="1" applyBorder="1" applyAlignment="1" applyProtection="1">
      <alignment horizontal="center" vertical="center"/>
      <protection locked="0"/>
    </xf>
    <xf numFmtId="0" fontId="2" fillId="3" borderId="15" xfId="1" applyFont="1" applyFill="1" applyBorder="1" applyAlignment="1">
      <alignment horizontal="center" vertical="center"/>
    </xf>
    <xf numFmtId="0" fontId="2" fillId="3" borderId="27" xfId="1" applyFont="1" applyFill="1" applyBorder="1" applyAlignment="1">
      <alignment horizontal="center" vertical="center"/>
    </xf>
    <xf numFmtId="0" fontId="2" fillId="3" borderId="10" xfId="1" applyFont="1" applyFill="1" applyBorder="1" applyAlignment="1">
      <alignment horizontal="center" vertical="center"/>
    </xf>
    <xf numFmtId="0" fontId="2" fillId="0" borderId="15" xfId="0" applyFont="1" applyFill="1" applyBorder="1" applyAlignment="1">
      <alignment horizontal="center" vertical="center"/>
    </xf>
    <xf numFmtId="0" fontId="2" fillId="0" borderId="27" xfId="0" applyFont="1" applyFill="1" applyBorder="1" applyAlignment="1">
      <alignment horizontal="center" vertical="center"/>
    </xf>
    <xf numFmtId="0" fontId="2" fillId="0" borderId="10" xfId="1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4" borderId="27" xfId="0" applyFont="1" applyFill="1" applyBorder="1" applyAlignment="1">
      <alignment horizontal="center" vertical="center"/>
    </xf>
    <xf numFmtId="0" fontId="2" fillId="4" borderId="10" xfId="1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6" borderId="10" xfId="1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2" fillId="5" borderId="27" xfId="0" applyFont="1" applyFill="1" applyBorder="1" applyAlignment="1">
      <alignment horizontal="center" vertical="center"/>
    </xf>
    <xf numFmtId="0" fontId="2" fillId="5" borderId="10" xfId="1" applyFont="1" applyFill="1" applyBorder="1" applyAlignment="1">
      <alignment horizontal="center" vertical="center"/>
    </xf>
    <xf numFmtId="0" fontId="4" fillId="0" borderId="26" xfId="1" applyFont="1" applyBorder="1" applyAlignment="1">
      <alignment horizontal="center" vertical="center"/>
    </xf>
    <xf numFmtId="49" fontId="4" fillId="0" borderId="26" xfId="1" applyNumberFormat="1" applyFont="1" applyBorder="1" applyAlignment="1">
      <alignment horizontal="center" vertical="center"/>
    </xf>
    <xf numFmtId="164" fontId="4" fillId="0" borderId="26" xfId="1" applyNumberFormat="1" applyFont="1" applyBorder="1" applyAlignment="1">
      <alignment horizontal="center" vertical="center"/>
    </xf>
    <xf numFmtId="14" fontId="5" fillId="0" borderId="26" xfId="0" applyNumberFormat="1" applyFont="1" applyBorder="1" applyAlignment="1">
      <alignment horizontal="center" vertical="center"/>
    </xf>
    <xf numFmtId="14" fontId="6" fillId="0" borderId="26" xfId="0" applyNumberFormat="1" applyFont="1" applyBorder="1" applyAlignment="1">
      <alignment horizontal="left" vertical="center"/>
    </xf>
    <xf numFmtId="0" fontId="2" fillId="2" borderId="26" xfId="1" applyFont="1" applyFill="1" applyBorder="1" applyAlignment="1">
      <alignment horizontal="center" vertical="center"/>
    </xf>
    <xf numFmtId="0" fontId="2" fillId="0" borderId="24" xfId="0" applyFont="1" applyBorder="1" applyAlignment="1" applyProtection="1">
      <alignment horizontal="center" vertical="center"/>
      <protection locked="0"/>
    </xf>
    <xf numFmtId="0" fontId="2" fillId="0" borderId="25" xfId="0" applyFont="1" applyBorder="1" applyAlignment="1" applyProtection="1">
      <alignment horizontal="center" vertical="center"/>
      <protection locked="0"/>
    </xf>
    <xf numFmtId="0" fontId="2" fillId="3" borderId="24" xfId="1" applyFont="1" applyFill="1" applyBorder="1" applyAlignment="1">
      <alignment horizontal="center" vertical="center"/>
    </xf>
    <xf numFmtId="0" fontId="2" fillId="3" borderId="28" xfId="1" applyFont="1" applyFill="1" applyBorder="1" applyAlignment="1">
      <alignment horizontal="center" vertical="center"/>
    </xf>
    <xf numFmtId="0" fontId="2" fillId="3" borderId="26" xfId="1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8" xfId="0" applyFont="1" applyFill="1" applyBorder="1" applyAlignment="1">
      <alignment horizontal="center" vertical="center"/>
    </xf>
    <xf numFmtId="0" fontId="2" fillId="0" borderId="26" xfId="1" applyFont="1" applyFill="1" applyBorder="1" applyAlignment="1">
      <alignment horizontal="center" vertical="center"/>
    </xf>
    <xf numFmtId="0" fontId="2" fillId="4" borderId="24" xfId="1" applyFont="1" applyFill="1" applyBorder="1" applyAlignment="1">
      <alignment horizontal="center" vertical="center"/>
    </xf>
    <xf numFmtId="0" fontId="2" fillId="4" borderId="28" xfId="1" applyFont="1" applyFill="1" applyBorder="1" applyAlignment="1">
      <alignment horizontal="center" vertical="center"/>
    </xf>
    <xf numFmtId="0" fontId="2" fillId="6" borderId="24" xfId="1" applyFont="1" applyFill="1" applyBorder="1" applyAlignment="1">
      <alignment horizontal="center" vertical="center"/>
    </xf>
    <xf numFmtId="0" fontId="2" fillId="6" borderId="28" xfId="1" applyFont="1" applyFill="1" applyBorder="1" applyAlignment="1">
      <alignment horizontal="center" vertical="center"/>
    </xf>
    <xf numFmtId="0" fontId="2" fillId="6" borderId="26" xfId="1" applyFont="1" applyFill="1" applyBorder="1" applyAlignment="1">
      <alignment horizontal="center" vertical="center"/>
    </xf>
    <xf numFmtId="0" fontId="2" fillId="5" borderId="24" xfId="1" applyFont="1" applyFill="1" applyBorder="1" applyAlignment="1">
      <alignment horizontal="center" vertical="center"/>
    </xf>
    <xf numFmtId="0" fontId="2" fillId="5" borderId="28" xfId="1" applyFont="1" applyFill="1" applyBorder="1" applyAlignment="1">
      <alignment horizontal="center" vertical="center"/>
    </xf>
    <xf numFmtId="0" fontId="2" fillId="0" borderId="24" xfId="1" applyFont="1" applyFill="1" applyBorder="1" applyAlignment="1">
      <alignment horizontal="center" vertical="center"/>
    </xf>
    <xf numFmtId="0" fontId="2" fillId="0" borderId="28" xfId="1" applyFont="1" applyFill="1" applyBorder="1" applyAlignment="1">
      <alignment horizontal="center" vertical="center"/>
    </xf>
    <xf numFmtId="0" fontId="2" fillId="4" borderId="15" xfId="1" applyFont="1" applyFill="1" applyBorder="1" applyAlignment="1">
      <alignment horizontal="center" vertical="center"/>
    </xf>
    <xf numFmtId="0" fontId="2" fillId="4" borderId="27" xfId="1" applyFont="1" applyFill="1" applyBorder="1" applyAlignment="1">
      <alignment horizontal="center" vertical="center"/>
    </xf>
    <xf numFmtId="0" fontId="2" fillId="6" borderId="15" xfId="1" applyFont="1" applyFill="1" applyBorder="1" applyAlignment="1">
      <alignment horizontal="center" vertical="center"/>
    </xf>
    <xf numFmtId="0" fontId="2" fillId="6" borderId="27" xfId="1" applyFont="1" applyFill="1" applyBorder="1" applyAlignment="1">
      <alignment horizontal="center" vertical="center"/>
    </xf>
    <xf numFmtId="0" fontId="2" fillId="5" borderId="15" xfId="1" applyFont="1" applyFill="1" applyBorder="1" applyAlignment="1">
      <alignment horizontal="center" vertical="center"/>
    </xf>
    <xf numFmtId="0" fontId="2" fillId="5" borderId="27" xfId="1" applyFont="1" applyFill="1" applyBorder="1" applyAlignment="1">
      <alignment horizontal="center" vertical="center"/>
    </xf>
    <xf numFmtId="0" fontId="2" fillId="0" borderId="15" xfId="1" applyFont="1" applyFill="1" applyBorder="1" applyAlignment="1">
      <alignment horizontal="center" vertical="center"/>
    </xf>
    <xf numFmtId="0" fontId="2" fillId="0" borderId="27" xfId="1" applyFont="1" applyFill="1" applyBorder="1" applyAlignment="1">
      <alignment horizontal="center" vertical="center"/>
    </xf>
    <xf numFmtId="0" fontId="4" fillId="0" borderId="29" xfId="1" applyFont="1" applyBorder="1" applyAlignment="1">
      <alignment horizontal="center" vertical="center"/>
    </xf>
    <xf numFmtId="49" fontId="4" fillId="0" borderId="29" xfId="1" applyNumberFormat="1" applyFont="1" applyBorder="1" applyAlignment="1">
      <alignment horizontal="center" vertical="center"/>
    </xf>
    <xf numFmtId="164" fontId="4" fillId="0" borderId="29" xfId="1" applyNumberFormat="1" applyFont="1" applyBorder="1" applyAlignment="1">
      <alignment horizontal="center" vertical="center"/>
    </xf>
    <xf numFmtId="14" fontId="5" fillId="0" borderId="29" xfId="0" applyNumberFormat="1" applyFont="1" applyBorder="1" applyAlignment="1">
      <alignment horizontal="center" vertical="center"/>
    </xf>
    <xf numFmtId="14" fontId="6" fillId="0" borderId="29" xfId="0" applyNumberFormat="1" applyFont="1" applyBorder="1" applyAlignment="1">
      <alignment horizontal="left" vertical="center"/>
    </xf>
    <xf numFmtId="0" fontId="2" fillId="2" borderId="29" xfId="1" applyFont="1" applyFill="1" applyBorder="1" applyAlignment="1">
      <alignment horizontal="center" vertical="center"/>
    </xf>
    <xf numFmtId="0" fontId="2" fillId="0" borderId="30" xfId="0" applyFont="1" applyBorder="1" applyAlignment="1" applyProtection="1">
      <alignment horizontal="center" vertical="center"/>
      <protection locked="0"/>
    </xf>
    <xf numFmtId="0" fontId="2" fillId="0" borderId="31" xfId="0" applyFont="1" applyBorder="1" applyAlignment="1" applyProtection="1">
      <alignment horizontal="center" vertical="center"/>
      <protection locked="0"/>
    </xf>
    <xf numFmtId="0" fontId="2" fillId="3" borderId="30" xfId="1" applyFont="1" applyFill="1" applyBorder="1" applyAlignment="1">
      <alignment horizontal="center" vertical="center"/>
    </xf>
    <xf numFmtId="0" fontId="2" fillId="3" borderId="32" xfId="1" applyFont="1" applyFill="1" applyBorder="1" applyAlignment="1">
      <alignment horizontal="center" vertical="center"/>
    </xf>
    <xf numFmtId="0" fontId="2" fillId="3" borderId="29" xfId="1" applyFont="1" applyFill="1" applyBorder="1" applyAlignment="1">
      <alignment horizontal="center" vertical="center"/>
    </xf>
    <xf numFmtId="0" fontId="2" fillId="0" borderId="30" xfId="0" applyFont="1" applyFill="1" applyBorder="1" applyAlignment="1">
      <alignment horizontal="center" vertical="center"/>
    </xf>
    <xf numFmtId="0" fontId="2" fillId="0" borderId="32" xfId="0" applyFont="1" applyFill="1" applyBorder="1" applyAlignment="1">
      <alignment horizontal="center" vertical="center"/>
    </xf>
    <xf numFmtId="0" fontId="2" fillId="0" borderId="29" xfId="1" applyFont="1" applyFill="1" applyBorder="1" applyAlignment="1">
      <alignment horizontal="center" vertical="center"/>
    </xf>
    <xf numFmtId="0" fontId="2" fillId="4" borderId="30" xfId="1" applyFont="1" applyFill="1" applyBorder="1" applyAlignment="1">
      <alignment horizontal="center" vertical="center"/>
    </xf>
    <xf numFmtId="0" fontId="2" fillId="4" borderId="32" xfId="1" applyFont="1" applyFill="1" applyBorder="1" applyAlignment="1">
      <alignment horizontal="center" vertical="center"/>
    </xf>
    <xf numFmtId="0" fontId="2" fillId="4" borderId="29" xfId="1" applyFont="1" applyFill="1" applyBorder="1" applyAlignment="1">
      <alignment horizontal="center" vertical="center"/>
    </xf>
    <xf numFmtId="0" fontId="2" fillId="6" borderId="30" xfId="1" applyFont="1" applyFill="1" applyBorder="1" applyAlignment="1">
      <alignment horizontal="center" vertical="center"/>
    </xf>
    <xf numFmtId="0" fontId="2" fillId="6" borderId="32" xfId="1" applyFont="1" applyFill="1" applyBorder="1" applyAlignment="1">
      <alignment horizontal="center" vertical="center"/>
    </xf>
    <xf numFmtId="0" fontId="2" fillId="6" borderId="29" xfId="1" applyFont="1" applyFill="1" applyBorder="1" applyAlignment="1">
      <alignment horizontal="center" vertical="center"/>
    </xf>
    <xf numFmtId="0" fontId="2" fillId="5" borderId="30" xfId="1" applyFont="1" applyFill="1" applyBorder="1" applyAlignment="1">
      <alignment horizontal="center" vertical="center"/>
    </xf>
    <xf numFmtId="0" fontId="2" fillId="5" borderId="32" xfId="1" applyFont="1" applyFill="1" applyBorder="1" applyAlignment="1">
      <alignment horizontal="center" vertical="center"/>
    </xf>
    <xf numFmtId="0" fontId="2" fillId="5" borderId="29" xfId="1" applyFont="1" applyFill="1" applyBorder="1" applyAlignment="1">
      <alignment horizontal="center" vertical="center"/>
    </xf>
    <xf numFmtId="0" fontId="2" fillId="0" borderId="30" xfId="1" applyFont="1" applyFill="1" applyBorder="1" applyAlignment="1">
      <alignment horizontal="center" vertical="center"/>
    </xf>
    <xf numFmtId="0" fontId="2" fillId="0" borderId="32" xfId="1" applyFont="1" applyFill="1" applyBorder="1" applyAlignment="1">
      <alignment horizontal="center" vertical="center"/>
    </xf>
    <xf numFmtId="0" fontId="2" fillId="0" borderId="33" xfId="1" applyFont="1" applyFill="1" applyBorder="1" applyAlignment="1">
      <alignment horizontal="center" vertical="center"/>
    </xf>
    <xf numFmtId="0" fontId="2" fillId="0" borderId="30" xfId="1" applyFont="1" applyBorder="1" applyAlignment="1">
      <alignment horizontal="center" vertical="center"/>
    </xf>
    <xf numFmtId="0" fontId="2" fillId="0" borderId="32" xfId="1" applyFont="1" applyBorder="1" applyAlignment="1">
      <alignment horizontal="center" vertical="center"/>
    </xf>
    <xf numFmtId="0" fontId="2" fillId="0" borderId="15" xfId="1" applyFont="1" applyBorder="1" applyAlignment="1">
      <alignment horizontal="center" vertical="center"/>
    </xf>
    <xf numFmtId="0" fontId="2" fillId="0" borderId="27" xfId="1" applyFont="1" applyBorder="1" applyAlignment="1">
      <alignment horizontal="center" vertical="center"/>
    </xf>
    <xf numFmtId="0" fontId="6" fillId="0" borderId="23" xfId="0" applyFont="1" applyBorder="1" applyAlignment="1">
      <alignment horizontal="left"/>
    </xf>
    <xf numFmtId="0" fontId="2" fillId="0" borderId="24" xfId="1" applyFont="1" applyBorder="1" applyAlignment="1">
      <alignment horizontal="center" vertical="center"/>
    </xf>
    <xf numFmtId="0" fontId="2" fillId="0" borderId="28" xfId="1" applyFont="1" applyBorder="1" applyAlignment="1">
      <alignment horizontal="center" vertical="center"/>
    </xf>
    <xf numFmtId="0" fontId="2" fillId="0" borderId="30" xfId="1" applyFont="1" applyBorder="1" applyAlignment="1" applyProtection="1">
      <alignment horizontal="center" vertical="center"/>
      <protection locked="0"/>
    </xf>
    <xf numFmtId="0" fontId="2" fillId="0" borderId="31" xfId="1" applyFont="1" applyBorder="1" applyAlignment="1" applyProtection="1">
      <alignment horizontal="center" vertical="center"/>
      <protection locked="0"/>
    </xf>
    <xf numFmtId="0" fontId="2" fillId="0" borderId="30" xfId="0" applyFont="1" applyFill="1" applyBorder="1" applyAlignment="1" applyProtection="1">
      <alignment horizontal="center" vertical="center"/>
      <protection locked="0"/>
    </xf>
    <xf numFmtId="0" fontId="2" fillId="0" borderId="32" xfId="0" applyFont="1" applyFill="1" applyBorder="1" applyAlignment="1" applyProtection="1">
      <alignment horizontal="center" vertical="center"/>
      <protection locked="0"/>
    </xf>
    <xf numFmtId="0" fontId="2" fillId="4" borderId="30" xfId="1" applyFont="1" applyFill="1" applyBorder="1" applyAlignment="1" applyProtection="1">
      <alignment horizontal="center" vertical="center"/>
      <protection locked="0"/>
    </xf>
    <xf numFmtId="0" fontId="2" fillId="4" borderId="32" xfId="1" applyFont="1" applyFill="1" applyBorder="1" applyAlignment="1" applyProtection="1">
      <alignment horizontal="center" vertical="center"/>
      <protection locked="0"/>
    </xf>
    <xf numFmtId="0" fontId="2" fillId="0" borderId="32" xfId="1" applyFont="1" applyBorder="1" applyAlignment="1" applyProtection="1">
      <alignment horizontal="center" vertical="center"/>
      <protection locked="0"/>
    </xf>
    <xf numFmtId="0" fontId="2" fillId="5" borderId="30" xfId="1" applyFont="1" applyFill="1" applyBorder="1" applyAlignment="1" applyProtection="1">
      <alignment horizontal="center" vertical="center"/>
      <protection locked="0"/>
    </xf>
    <xf numFmtId="0" fontId="2" fillId="5" borderId="32" xfId="1" applyFont="1" applyFill="1" applyBorder="1" applyAlignment="1" applyProtection="1">
      <alignment horizontal="center" vertical="center"/>
      <protection locked="0"/>
    </xf>
    <xf numFmtId="0" fontId="2" fillId="0" borderId="30" xfId="1" applyFont="1" applyFill="1" applyBorder="1" applyAlignment="1" applyProtection="1">
      <alignment horizontal="center" vertical="center"/>
      <protection locked="0"/>
    </xf>
    <xf numFmtId="0" fontId="2" fillId="0" borderId="32" xfId="1" applyFont="1" applyFill="1" applyBorder="1" applyAlignment="1" applyProtection="1">
      <alignment horizontal="center" vertical="center"/>
      <protection locked="0"/>
    </xf>
    <xf numFmtId="0" fontId="2" fillId="0" borderId="15" xfId="1" applyFont="1" applyBorder="1" applyAlignment="1" applyProtection="1">
      <alignment horizontal="center" vertical="center"/>
      <protection locked="0"/>
    </xf>
    <xf numFmtId="0" fontId="2" fillId="0" borderId="16" xfId="1" applyFont="1" applyBorder="1" applyAlignment="1" applyProtection="1">
      <alignment horizontal="center" vertical="center"/>
      <protection locked="0"/>
    </xf>
    <xf numFmtId="0" fontId="2" fillId="0" borderId="15" xfId="0" applyFont="1" applyFill="1" applyBorder="1" applyAlignment="1" applyProtection="1">
      <alignment horizontal="center" vertical="center"/>
      <protection locked="0"/>
    </xf>
    <xf numFmtId="0" fontId="2" fillId="0" borderId="27" xfId="0" applyFont="1" applyFill="1" applyBorder="1" applyAlignment="1" applyProtection="1">
      <alignment horizontal="center" vertical="center"/>
      <protection locked="0"/>
    </xf>
    <xf numFmtId="0" fontId="2" fillId="4" borderId="15" xfId="1" applyFont="1" applyFill="1" applyBorder="1" applyAlignment="1" applyProtection="1">
      <alignment horizontal="center" vertical="center"/>
      <protection locked="0"/>
    </xf>
    <xf numFmtId="0" fontId="2" fillId="4" borderId="27" xfId="1" applyFont="1" applyFill="1" applyBorder="1" applyAlignment="1" applyProtection="1">
      <alignment horizontal="center" vertical="center"/>
      <protection locked="0"/>
    </xf>
    <xf numFmtId="0" fontId="2" fillId="0" borderId="27" xfId="1" applyFont="1" applyBorder="1" applyAlignment="1" applyProtection="1">
      <alignment horizontal="center" vertical="center"/>
      <protection locked="0"/>
    </xf>
    <xf numFmtId="0" fontId="2" fillId="5" borderId="15" xfId="1" applyFont="1" applyFill="1" applyBorder="1" applyAlignment="1" applyProtection="1">
      <alignment horizontal="center" vertical="center"/>
      <protection locked="0"/>
    </xf>
    <xf numFmtId="0" fontId="2" fillId="5" borderId="27" xfId="1" applyFont="1" applyFill="1" applyBorder="1" applyAlignment="1" applyProtection="1">
      <alignment horizontal="center" vertical="center"/>
      <protection locked="0"/>
    </xf>
    <xf numFmtId="0" fontId="2" fillId="0" borderId="15" xfId="1" applyFont="1" applyFill="1" applyBorder="1" applyAlignment="1" applyProtection="1">
      <alignment horizontal="center" vertical="center"/>
      <protection locked="0"/>
    </xf>
    <xf numFmtId="0" fontId="2" fillId="0" borderId="27" xfId="1" applyFont="1" applyFill="1" applyBorder="1" applyAlignment="1" applyProtection="1">
      <alignment horizontal="center" vertical="center"/>
      <protection locked="0"/>
    </xf>
    <xf numFmtId="0" fontId="2" fillId="0" borderId="24" xfId="1" applyFont="1" applyBorder="1" applyAlignment="1" applyProtection="1">
      <alignment horizontal="center" vertical="center"/>
      <protection locked="0"/>
    </xf>
    <xf numFmtId="0" fontId="2" fillId="0" borderId="25" xfId="1" applyFont="1" applyBorder="1" applyAlignment="1" applyProtection="1">
      <alignment horizontal="center" vertical="center"/>
      <protection locked="0"/>
    </xf>
    <xf numFmtId="0" fontId="2" fillId="0" borderId="24" xfId="0" applyFont="1" applyFill="1" applyBorder="1" applyAlignment="1" applyProtection="1">
      <alignment horizontal="center" vertical="center"/>
      <protection locked="0"/>
    </xf>
    <xf numFmtId="0" fontId="2" fillId="0" borderId="28" xfId="0" applyFont="1" applyFill="1" applyBorder="1" applyAlignment="1" applyProtection="1">
      <alignment horizontal="center" vertical="center"/>
      <protection locked="0"/>
    </xf>
    <xf numFmtId="0" fontId="2" fillId="4" borderId="24" xfId="1" applyFont="1" applyFill="1" applyBorder="1" applyAlignment="1" applyProtection="1">
      <alignment horizontal="center" vertical="center"/>
      <protection locked="0"/>
    </xf>
    <xf numFmtId="0" fontId="2" fillId="4" borderId="28" xfId="1" applyFont="1" applyFill="1" applyBorder="1" applyAlignment="1" applyProtection="1">
      <alignment horizontal="center" vertical="center"/>
      <protection locked="0"/>
    </xf>
    <xf numFmtId="0" fontId="2" fillId="0" borderId="28" xfId="1" applyFont="1" applyBorder="1" applyAlignment="1" applyProtection="1">
      <alignment horizontal="center" vertical="center"/>
      <protection locked="0"/>
    </xf>
    <xf numFmtId="0" fontId="2" fillId="5" borderId="24" xfId="1" applyFont="1" applyFill="1" applyBorder="1" applyAlignment="1" applyProtection="1">
      <alignment horizontal="center" vertical="center"/>
      <protection locked="0"/>
    </xf>
    <xf numFmtId="0" fontId="2" fillId="5" borderId="28" xfId="1" applyFont="1" applyFill="1" applyBorder="1" applyAlignment="1" applyProtection="1">
      <alignment horizontal="center" vertical="center"/>
      <protection locked="0"/>
    </xf>
    <xf numFmtId="0" fontId="2" fillId="0" borderId="24" xfId="1" applyFont="1" applyFill="1" applyBorder="1" applyAlignment="1" applyProtection="1">
      <alignment horizontal="center" vertical="center"/>
      <protection locked="0"/>
    </xf>
    <xf numFmtId="0" fontId="2" fillId="0" borderId="28" xfId="1" applyFont="1" applyFill="1" applyBorder="1" applyAlignment="1" applyProtection="1">
      <alignment horizontal="center" vertical="center"/>
      <protection locked="0"/>
    </xf>
    <xf numFmtId="0" fontId="2" fillId="2" borderId="10" xfId="1" applyFont="1" applyFill="1" applyBorder="1" applyAlignment="1">
      <alignment horizontal="center"/>
    </xf>
    <xf numFmtId="0" fontId="2" fillId="2" borderId="26" xfId="1" applyFont="1" applyFill="1" applyBorder="1" applyAlignment="1">
      <alignment horizontal="center"/>
    </xf>
    <xf numFmtId="0" fontId="2" fillId="2" borderId="29" xfId="1" applyFont="1" applyFill="1" applyBorder="1" applyAlignment="1">
      <alignment horizontal="center"/>
    </xf>
    <xf numFmtId="14" fontId="6" fillId="0" borderId="34" xfId="0" applyNumberFormat="1" applyFont="1" applyBorder="1" applyAlignment="1">
      <alignment horizontal="left" vertical="center"/>
    </xf>
    <xf numFmtId="0" fontId="2" fillId="3" borderId="25" xfId="1" applyFont="1" applyFill="1" applyBorder="1" applyAlignment="1">
      <alignment horizontal="center" vertical="center"/>
    </xf>
    <xf numFmtId="0" fontId="2" fillId="0" borderId="25" xfId="1" applyFont="1" applyFill="1" applyBorder="1" applyAlignment="1" applyProtection="1">
      <alignment horizontal="center" vertical="center"/>
      <protection locked="0"/>
    </xf>
    <xf numFmtId="0" fontId="2" fillId="4" borderId="25" xfId="1" applyFont="1" applyFill="1" applyBorder="1" applyAlignment="1" applyProtection="1">
      <alignment horizontal="center" vertical="center"/>
      <protection locked="0"/>
    </xf>
    <xf numFmtId="0" fontId="2" fillId="5" borderId="25" xfId="1" applyFont="1" applyFill="1" applyBorder="1" applyAlignment="1" applyProtection="1">
      <alignment horizontal="center" vertical="center"/>
      <protection locked="0"/>
    </xf>
    <xf numFmtId="14" fontId="6" fillId="0" borderId="35" xfId="0" applyNumberFormat="1" applyFont="1" applyBorder="1" applyAlignment="1">
      <alignment horizontal="left" vertical="center"/>
    </xf>
    <xf numFmtId="0" fontId="2" fillId="3" borderId="31" xfId="1" applyFont="1" applyFill="1" applyBorder="1" applyAlignment="1">
      <alignment horizontal="center" vertical="center"/>
    </xf>
    <xf numFmtId="0" fontId="2" fillId="0" borderId="31" xfId="1" applyFont="1" applyFill="1" applyBorder="1" applyAlignment="1" applyProtection="1">
      <alignment horizontal="center" vertical="center"/>
      <protection locked="0"/>
    </xf>
    <xf numFmtId="0" fontId="2" fillId="4" borderId="31" xfId="1" applyFont="1" applyFill="1" applyBorder="1" applyAlignment="1" applyProtection="1">
      <alignment horizontal="center" vertical="center"/>
      <protection locked="0"/>
    </xf>
    <xf numFmtId="0" fontId="2" fillId="5" borderId="31" xfId="1" applyFont="1" applyFill="1" applyBorder="1" applyAlignment="1" applyProtection="1">
      <alignment horizontal="center" vertical="center"/>
      <protection locked="0"/>
    </xf>
    <xf numFmtId="14" fontId="6" fillId="0" borderId="36" xfId="0" applyNumberFormat="1" applyFont="1" applyBorder="1" applyAlignment="1">
      <alignment horizontal="left" vertical="center"/>
    </xf>
    <xf numFmtId="0" fontId="2" fillId="3" borderId="16" xfId="1" applyFont="1" applyFill="1" applyBorder="1" applyAlignment="1">
      <alignment horizontal="center" vertical="center"/>
    </xf>
    <xf numFmtId="0" fontId="2" fillId="0" borderId="16" xfId="1" applyFont="1" applyFill="1" applyBorder="1" applyAlignment="1" applyProtection="1">
      <alignment horizontal="center" vertical="center"/>
      <protection locked="0"/>
    </xf>
    <xf numFmtId="0" fontId="2" fillId="4" borderId="16" xfId="1" applyFont="1" applyFill="1" applyBorder="1" applyAlignment="1" applyProtection="1">
      <alignment horizontal="center" vertical="center"/>
      <protection locked="0"/>
    </xf>
    <xf numFmtId="0" fontId="2" fillId="5" borderId="16" xfId="1" applyFont="1" applyFill="1" applyBorder="1" applyAlignment="1" applyProtection="1">
      <alignment horizontal="center" vertical="center"/>
      <protection locked="0"/>
    </xf>
    <xf numFmtId="0" fontId="4" fillId="0" borderId="2" xfId="1" applyFont="1" applyBorder="1" applyAlignment="1">
      <alignment horizontal="center" vertical="center"/>
    </xf>
    <xf numFmtId="0" fontId="2" fillId="2" borderId="1" xfId="1" applyFont="1" applyFill="1" applyBorder="1" applyAlignment="1">
      <alignment horizontal="center"/>
    </xf>
    <xf numFmtId="0" fontId="2" fillId="0" borderId="5" xfId="1" applyFont="1" applyBorder="1" applyAlignment="1" applyProtection="1">
      <alignment horizontal="center" vertical="center"/>
      <protection locked="0"/>
    </xf>
    <xf numFmtId="0" fontId="2" fillId="0" borderId="6" xfId="1" applyFont="1" applyBorder="1" applyAlignment="1" applyProtection="1">
      <alignment horizontal="center" vertical="center"/>
      <protection locked="0"/>
    </xf>
    <xf numFmtId="0" fontId="2" fillId="0" borderId="5" xfId="1" applyFont="1" applyFill="1" applyBorder="1" applyAlignment="1" applyProtection="1">
      <alignment horizontal="center" vertical="center"/>
      <protection locked="0"/>
    </xf>
    <xf numFmtId="0" fontId="2" fillId="0" borderId="22" xfId="1" applyFont="1" applyFill="1" applyBorder="1" applyAlignment="1" applyProtection="1">
      <alignment horizontal="center" vertical="center"/>
      <protection locked="0"/>
    </xf>
    <xf numFmtId="0" fontId="2" fillId="4" borderId="5" xfId="1" applyFont="1" applyFill="1" applyBorder="1" applyAlignment="1" applyProtection="1">
      <alignment horizontal="center" vertical="center"/>
      <protection locked="0"/>
    </xf>
    <xf numFmtId="0" fontId="2" fillId="4" borderId="22" xfId="1" applyFont="1" applyFill="1" applyBorder="1" applyAlignment="1" applyProtection="1">
      <alignment horizontal="center" vertical="center"/>
      <protection locked="0"/>
    </xf>
    <xf numFmtId="0" fontId="2" fillId="0" borderId="22" xfId="1" applyFont="1" applyBorder="1" applyAlignment="1" applyProtection="1">
      <alignment horizontal="center" vertical="center"/>
      <protection locked="0"/>
    </xf>
    <xf numFmtId="0" fontId="2" fillId="5" borderId="5" xfId="1" applyFont="1" applyFill="1" applyBorder="1" applyAlignment="1" applyProtection="1">
      <alignment horizontal="center" vertical="center"/>
      <protection locked="0"/>
    </xf>
    <xf numFmtId="0" fontId="2" fillId="5" borderId="22" xfId="1" applyFont="1" applyFill="1" applyBorder="1" applyAlignment="1" applyProtection="1">
      <alignment horizontal="center" vertical="center"/>
      <protection locked="0"/>
    </xf>
    <xf numFmtId="0" fontId="2" fillId="0" borderId="2" xfId="1" applyFont="1" applyFill="1" applyBorder="1" applyAlignment="1">
      <alignment horizontal="center" vertical="center"/>
    </xf>
    <xf numFmtId="0" fontId="2" fillId="5" borderId="6" xfId="1" applyFont="1" applyFill="1" applyBorder="1" applyAlignment="1" applyProtection="1">
      <alignment horizontal="center" vertical="center"/>
      <protection locked="0"/>
    </xf>
    <xf numFmtId="0" fontId="2" fillId="4" borderId="6" xfId="1" applyFont="1" applyFill="1" applyBorder="1" applyAlignment="1" applyProtection="1">
      <alignment horizontal="center" vertical="center"/>
      <protection locked="0"/>
    </xf>
    <xf numFmtId="0" fontId="4" fillId="0" borderId="33" xfId="1" applyFont="1" applyBorder="1" applyAlignment="1">
      <alignment horizontal="center" vertical="center"/>
    </xf>
    <xf numFmtId="0" fontId="4" fillId="0" borderId="23" xfId="1" applyFont="1" applyBorder="1" applyAlignment="1">
      <alignment horizontal="center" vertical="center"/>
    </xf>
    <xf numFmtId="14" fontId="6" fillId="0" borderId="37" xfId="0" applyNumberFormat="1" applyFont="1" applyBorder="1" applyAlignment="1">
      <alignment horizontal="left" vertical="center"/>
    </xf>
    <xf numFmtId="14" fontId="6" fillId="0" borderId="38" xfId="0" applyNumberFormat="1" applyFont="1" applyBorder="1" applyAlignment="1">
      <alignment horizontal="left" vertical="center"/>
    </xf>
    <xf numFmtId="14" fontId="6" fillId="0" borderId="39" xfId="0" applyNumberFormat="1" applyFont="1" applyBorder="1" applyAlignment="1">
      <alignment horizontal="left" vertical="center"/>
    </xf>
    <xf numFmtId="49" fontId="4" fillId="0" borderId="40" xfId="1" applyNumberFormat="1" applyFont="1" applyBorder="1" applyAlignment="1">
      <alignment horizontal="center" vertical="center"/>
    </xf>
    <xf numFmtId="164" fontId="4" fillId="0" borderId="40" xfId="1" applyNumberFormat="1" applyFont="1" applyBorder="1" applyAlignment="1">
      <alignment horizontal="center" vertical="center"/>
    </xf>
    <xf numFmtId="14" fontId="5" fillId="0" borderId="40" xfId="0" applyNumberFormat="1" applyFont="1" applyBorder="1" applyAlignment="1">
      <alignment horizontal="center" vertical="center"/>
    </xf>
    <xf numFmtId="14" fontId="6" fillId="0" borderId="40" xfId="0" applyNumberFormat="1" applyFont="1" applyBorder="1" applyAlignment="1">
      <alignment horizontal="left" vertical="center"/>
    </xf>
    <xf numFmtId="0" fontId="2" fillId="2" borderId="40" xfId="1" applyFont="1" applyFill="1" applyBorder="1" applyAlignment="1">
      <alignment horizontal="center"/>
    </xf>
    <xf numFmtId="0" fontId="2" fillId="0" borderId="41" xfId="1" applyFont="1" applyBorder="1" applyAlignment="1" applyProtection="1">
      <alignment horizontal="center" vertical="center"/>
      <protection locked="0"/>
    </xf>
    <xf numFmtId="0" fontId="2" fillId="2" borderId="40" xfId="1" applyFont="1" applyFill="1" applyBorder="1" applyAlignment="1">
      <alignment horizontal="center" vertical="center"/>
    </xf>
    <xf numFmtId="0" fontId="2" fillId="3" borderId="41" xfId="1" applyFont="1" applyFill="1" applyBorder="1" applyAlignment="1">
      <alignment horizontal="center" vertical="center"/>
    </xf>
    <xf numFmtId="0" fontId="2" fillId="3" borderId="6" xfId="1" applyFont="1" applyFill="1" applyBorder="1" applyAlignment="1">
      <alignment horizontal="center" vertical="center"/>
    </xf>
    <xf numFmtId="0" fontId="2" fillId="3" borderId="40" xfId="1" applyFont="1" applyFill="1" applyBorder="1" applyAlignment="1">
      <alignment horizontal="center" vertical="center"/>
    </xf>
    <xf numFmtId="0" fontId="2" fillId="0" borderId="41" xfId="1" applyFont="1" applyFill="1" applyBorder="1" applyAlignment="1" applyProtection="1">
      <alignment horizontal="center" vertical="center"/>
      <protection locked="0"/>
    </xf>
    <xf numFmtId="0" fontId="2" fillId="0" borderId="6" xfId="1" applyFont="1" applyFill="1" applyBorder="1" applyAlignment="1" applyProtection="1">
      <alignment horizontal="center" vertical="center"/>
      <protection locked="0"/>
    </xf>
    <xf numFmtId="0" fontId="2" fillId="0" borderId="40" xfId="1" applyFont="1" applyFill="1" applyBorder="1" applyAlignment="1">
      <alignment horizontal="center" vertical="center"/>
    </xf>
    <xf numFmtId="0" fontId="2" fillId="4" borderId="41" xfId="1" applyFont="1" applyFill="1" applyBorder="1" applyAlignment="1" applyProtection="1">
      <alignment horizontal="center" vertical="center"/>
      <protection locked="0"/>
    </xf>
    <xf numFmtId="0" fontId="2" fillId="4" borderId="40" xfId="1" applyFont="1" applyFill="1" applyBorder="1" applyAlignment="1">
      <alignment horizontal="center" vertical="center"/>
    </xf>
    <xf numFmtId="0" fontId="2" fillId="6" borderId="40" xfId="1" applyFont="1" applyFill="1" applyBorder="1" applyAlignment="1">
      <alignment horizontal="center" vertical="center"/>
    </xf>
    <xf numFmtId="0" fontId="2" fillId="5" borderId="41" xfId="1" applyFont="1" applyFill="1" applyBorder="1" applyAlignment="1" applyProtection="1">
      <alignment horizontal="center" vertical="center"/>
      <protection locked="0"/>
    </xf>
    <xf numFmtId="0" fontId="2" fillId="5" borderId="40" xfId="1" applyFont="1" applyFill="1" applyBorder="1" applyAlignment="1">
      <alignment horizontal="center" vertical="center"/>
    </xf>
    <xf numFmtId="0" fontId="2" fillId="0" borderId="4" xfId="1" applyFont="1" applyFill="1" applyBorder="1" applyAlignment="1">
      <alignment horizontal="center" vertical="center"/>
    </xf>
    <xf numFmtId="49" fontId="4" fillId="0" borderId="35" xfId="1" applyNumberFormat="1" applyFont="1" applyBorder="1" applyAlignment="1">
      <alignment horizontal="center" vertical="center"/>
    </xf>
    <xf numFmtId="164" fontId="4" fillId="0" borderId="35" xfId="1" applyNumberFormat="1" applyFont="1" applyBorder="1" applyAlignment="1">
      <alignment horizontal="center" vertical="center"/>
    </xf>
    <xf numFmtId="14" fontId="5" fillId="0" borderId="35" xfId="0" applyNumberFormat="1" applyFont="1" applyBorder="1" applyAlignment="1">
      <alignment horizontal="center" vertical="center"/>
    </xf>
    <xf numFmtId="0" fontId="2" fillId="2" borderId="35" xfId="1" applyFont="1" applyFill="1" applyBorder="1" applyAlignment="1">
      <alignment horizontal="center"/>
    </xf>
    <xf numFmtId="0" fontId="2" fillId="0" borderId="42" xfId="1" applyFont="1" applyBorder="1" applyAlignment="1" applyProtection="1">
      <alignment horizontal="center" vertical="center"/>
      <protection locked="0"/>
    </xf>
    <xf numFmtId="0" fontId="2" fillId="2" borderId="35" xfId="1" applyFont="1" applyFill="1" applyBorder="1" applyAlignment="1">
      <alignment horizontal="center" vertical="center"/>
    </xf>
    <xf numFmtId="0" fontId="2" fillId="3" borderId="42" xfId="1" applyFont="1" applyFill="1" applyBorder="1" applyAlignment="1">
      <alignment horizontal="center" vertical="center"/>
    </xf>
    <xf numFmtId="0" fontId="2" fillId="3" borderId="35" xfId="1" applyFont="1" applyFill="1" applyBorder="1" applyAlignment="1">
      <alignment horizontal="center" vertical="center"/>
    </xf>
    <xf numFmtId="0" fontId="2" fillId="0" borderId="42" xfId="1" applyFont="1" applyFill="1" applyBorder="1" applyAlignment="1" applyProtection="1">
      <alignment horizontal="center" vertical="center"/>
      <protection locked="0"/>
    </xf>
    <xf numFmtId="0" fontId="2" fillId="0" borderId="35" xfId="1" applyFont="1" applyFill="1" applyBorder="1" applyAlignment="1">
      <alignment horizontal="center" vertical="center"/>
    </xf>
    <xf numFmtId="0" fontId="2" fillId="4" borderId="42" xfId="1" applyFont="1" applyFill="1" applyBorder="1" applyAlignment="1" applyProtection="1">
      <alignment horizontal="center" vertical="center"/>
      <protection locked="0"/>
    </xf>
    <xf numFmtId="0" fontId="2" fillId="4" borderId="35" xfId="1" applyFont="1" applyFill="1" applyBorder="1" applyAlignment="1">
      <alignment horizontal="center" vertical="center"/>
    </xf>
    <xf numFmtId="0" fontId="2" fillId="6" borderId="35" xfId="1" applyFont="1" applyFill="1" applyBorder="1" applyAlignment="1">
      <alignment horizontal="center" vertical="center"/>
    </xf>
    <xf numFmtId="0" fontId="2" fillId="5" borderId="42" xfId="1" applyFont="1" applyFill="1" applyBorder="1" applyAlignment="1" applyProtection="1">
      <alignment horizontal="center" vertical="center"/>
      <protection locked="0"/>
    </xf>
    <xf numFmtId="0" fontId="2" fillId="5" borderId="35" xfId="1" applyFont="1" applyFill="1" applyBorder="1" applyAlignment="1">
      <alignment horizontal="center" vertical="center"/>
    </xf>
    <xf numFmtId="0" fontId="2" fillId="0" borderId="43" xfId="1" applyFont="1" applyFill="1" applyBorder="1" applyAlignment="1">
      <alignment horizontal="center" vertical="center"/>
    </xf>
    <xf numFmtId="49" fontId="4" fillId="0" borderId="36" xfId="1" applyNumberFormat="1" applyFont="1" applyBorder="1" applyAlignment="1">
      <alignment horizontal="center" vertical="center"/>
    </xf>
    <xf numFmtId="164" fontId="4" fillId="0" borderId="36" xfId="1" applyNumberFormat="1" applyFont="1" applyBorder="1" applyAlignment="1">
      <alignment horizontal="center" vertical="center"/>
    </xf>
    <xf numFmtId="14" fontId="5" fillId="0" borderId="36" xfId="0" applyNumberFormat="1" applyFont="1" applyBorder="1" applyAlignment="1">
      <alignment horizontal="center" vertical="center"/>
    </xf>
    <xf numFmtId="0" fontId="2" fillId="2" borderId="36" xfId="1" applyFont="1" applyFill="1" applyBorder="1" applyAlignment="1">
      <alignment horizontal="center"/>
    </xf>
    <xf numFmtId="0" fontId="2" fillId="0" borderId="44" xfId="1" applyFont="1" applyBorder="1" applyAlignment="1" applyProtection="1">
      <alignment horizontal="center" vertical="center"/>
      <protection locked="0"/>
    </xf>
    <xf numFmtId="0" fontId="2" fillId="2" borderId="36" xfId="1" applyFont="1" applyFill="1" applyBorder="1" applyAlignment="1">
      <alignment horizontal="center" vertical="center"/>
    </xf>
    <xf numFmtId="0" fontId="2" fillId="3" borderId="44" xfId="1" applyFont="1" applyFill="1" applyBorder="1" applyAlignment="1">
      <alignment horizontal="center" vertical="center"/>
    </xf>
    <xf numFmtId="0" fontId="2" fillId="3" borderId="36" xfId="1" applyFont="1" applyFill="1" applyBorder="1" applyAlignment="1">
      <alignment horizontal="center" vertical="center"/>
    </xf>
    <xf numFmtId="0" fontId="2" fillId="0" borderId="44" xfId="1" applyFont="1" applyFill="1" applyBorder="1" applyAlignment="1" applyProtection="1">
      <alignment horizontal="center" vertical="center"/>
      <protection locked="0"/>
    </xf>
    <xf numFmtId="0" fontId="2" fillId="0" borderId="36" xfId="1" applyFont="1" applyFill="1" applyBorder="1" applyAlignment="1">
      <alignment horizontal="center" vertical="center"/>
    </xf>
    <xf numFmtId="0" fontId="2" fillId="4" borderId="44" xfId="1" applyFont="1" applyFill="1" applyBorder="1" applyAlignment="1" applyProtection="1">
      <alignment horizontal="center" vertical="center"/>
      <protection locked="0"/>
    </xf>
    <xf numFmtId="0" fontId="2" fillId="4" borderId="36" xfId="1" applyFont="1" applyFill="1" applyBorder="1" applyAlignment="1">
      <alignment horizontal="center" vertical="center"/>
    </xf>
    <xf numFmtId="0" fontId="2" fillId="6" borderId="36" xfId="1" applyFont="1" applyFill="1" applyBorder="1" applyAlignment="1">
      <alignment horizontal="center" vertical="center"/>
    </xf>
    <xf numFmtId="0" fontId="2" fillId="5" borderId="44" xfId="1" applyFont="1" applyFill="1" applyBorder="1" applyAlignment="1" applyProtection="1">
      <alignment horizontal="center" vertical="center"/>
      <protection locked="0"/>
    </xf>
    <xf numFmtId="0" fontId="2" fillId="5" borderId="36" xfId="1" applyFont="1" applyFill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0" borderId="5" xfId="1" applyFont="1" applyFill="1" applyBorder="1" applyAlignment="1">
      <alignment horizontal="center" vertical="center"/>
    </xf>
    <xf numFmtId="0" fontId="2" fillId="0" borderId="6" xfId="1" applyFont="1" applyFill="1" applyBorder="1" applyAlignment="1">
      <alignment horizontal="center" vertical="center"/>
    </xf>
    <xf numFmtId="0" fontId="2" fillId="4" borderId="5" xfId="1" applyFont="1" applyFill="1" applyBorder="1" applyAlignment="1">
      <alignment horizontal="center" vertical="center"/>
    </xf>
    <xf numFmtId="0" fontId="2" fillId="4" borderId="6" xfId="1" applyFont="1" applyFill="1" applyBorder="1" applyAlignment="1">
      <alignment horizontal="center" vertical="center"/>
    </xf>
    <xf numFmtId="0" fontId="2" fillId="5" borderId="5" xfId="1" applyFont="1" applyFill="1" applyBorder="1" applyAlignment="1">
      <alignment horizontal="center" vertical="center"/>
    </xf>
    <xf numFmtId="0" fontId="2" fillId="5" borderId="6" xfId="1" applyFont="1" applyFill="1" applyBorder="1" applyAlignment="1">
      <alignment horizontal="center" vertical="center"/>
    </xf>
    <xf numFmtId="0" fontId="2" fillId="0" borderId="31" xfId="1" applyFont="1" applyBorder="1" applyAlignment="1">
      <alignment horizontal="center" vertical="center"/>
    </xf>
    <xf numFmtId="0" fontId="2" fillId="0" borderId="31" xfId="1" applyFont="1" applyFill="1" applyBorder="1" applyAlignment="1">
      <alignment horizontal="center" vertical="center"/>
    </xf>
    <xf numFmtId="0" fontId="2" fillId="4" borderId="31" xfId="1" applyFont="1" applyFill="1" applyBorder="1" applyAlignment="1">
      <alignment horizontal="center" vertical="center"/>
    </xf>
    <xf numFmtId="0" fontId="2" fillId="5" borderId="31" xfId="1" applyFont="1" applyFill="1" applyBorder="1" applyAlignment="1">
      <alignment horizontal="center" vertical="center"/>
    </xf>
    <xf numFmtId="14" fontId="6" fillId="0" borderId="30" xfId="0" applyNumberFormat="1" applyFont="1" applyBorder="1" applyAlignment="1">
      <alignment horizontal="left" vertical="center"/>
    </xf>
    <xf numFmtId="14" fontId="6" fillId="0" borderId="31" xfId="0" applyNumberFormat="1" applyFont="1" applyBorder="1" applyAlignment="1">
      <alignment horizontal="left" vertical="center"/>
    </xf>
    <xf numFmtId="0" fontId="2" fillId="0" borderId="16" xfId="1" applyFont="1" applyBorder="1" applyAlignment="1">
      <alignment horizontal="center" vertical="center"/>
    </xf>
    <xf numFmtId="0" fontId="2" fillId="0" borderId="16" xfId="1" applyFont="1" applyFill="1" applyBorder="1" applyAlignment="1">
      <alignment horizontal="center" vertical="center"/>
    </xf>
    <xf numFmtId="0" fontId="2" fillId="4" borderId="16" xfId="1" applyFont="1" applyFill="1" applyBorder="1" applyAlignment="1">
      <alignment horizontal="center" vertical="center"/>
    </xf>
    <xf numFmtId="0" fontId="2" fillId="5" borderId="16" xfId="1" applyFont="1" applyFill="1" applyBorder="1" applyAlignment="1">
      <alignment horizontal="center" vertical="center"/>
    </xf>
    <xf numFmtId="0" fontId="2" fillId="0" borderId="25" xfId="1" applyFont="1" applyBorder="1" applyAlignment="1">
      <alignment horizontal="center" vertical="center"/>
    </xf>
    <xf numFmtId="0" fontId="2" fillId="3" borderId="23" xfId="1" applyFont="1" applyFill="1" applyBorder="1" applyAlignment="1">
      <alignment horizontal="center" vertical="center"/>
    </xf>
    <xf numFmtId="0" fontId="2" fillId="3" borderId="33" xfId="1" applyFont="1" applyFill="1" applyBorder="1" applyAlignment="1">
      <alignment horizontal="center" vertical="center"/>
    </xf>
    <xf numFmtId="0" fontId="2" fillId="2" borderId="10" xfId="1" applyFont="1" applyFill="1" applyBorder="1"/>
    <xf numFmtId="0" fontId="6" fillId="0" borderId="1" xfId="0" applyFont="1" applyBorder="1" applyAlignment="1">
      <alignment horizontal="left" vertical="center"/>
    </xf>
    <xf numFmtId="0" fontId="6" fillId="0" borderId="40" xfId="0" applyFont="1" applyBorder="1" applyAlignment="1">
      <alignment horizontal="left" vertical="center"/>
    </xf>
    <xf numFmtId="0" fontId="2" fillId="2" borderId="1" xfId="1" applyFont="1" applyFill="1" applyBorder="1"/>
    <xf numFmtId="0" fontId="2" fillId="0" borderId="22" xfId="1" applyFont="1" applyFill="1" applyBorder="1" applyAlignment="1">
      <alignment horizontal="center" vertical="center"/>
    </xf>
    <xf numFmtId="0" fontId="2" fillId="4" borderId="22" xfId="1" applyFont="1" applyFill="1" applyBorder="1" applyAlignment="1">
      <alignment horizontal="center" vertical="center"/>
    </xf>
    <xf numFmtId="0" fontId="2" fillId="0" borderId="22" xfId="1" applyFont="1" applyBorder="1" applyAlignment="1">
      <alignment horizontal="center" vertical="center"/>
    </xf>
    <xf numFmtId="0" fontId="2" fillId="5" borderId="22" xfId="1" applyFont="1" applyFill="1" applyBorder="1" applyAlignment="1">
      <alignment horizontal="center" vertical="center"/>
    </xf>
    <xf numFmtId="0" fontId="6" fillId="0" borderId="29" xfId="0" applyFont="1" applyBorder="1" applyAlignment="1">
      <alignment horizontal="left" vertical="center"/>
    </xf>
    <xf numFmtId="0" fontId="6" fillId="0" borderId="35" xfId="0" applyFont="1" applyBorder="1" applyAlignment="1">
      <alignment horizontal="left" vertical="center"/>
    </xf>
    <xf numFmtId="0" fontId="2" fillId="2" borderId="29" xfId="1" applyFont="1" applyFill="1" applyBorder="1"/>
    <xf numFmtId="0" fontId="6" fillId="0" borderId="10" xfId="0" applyFont="1" applyBorder="1" applyAlignment="1">
      <alignment horizontal="left" vertical="center"/>
    </xf>
    <xf numFmtId="0" fontId="6" fillId="0" borderId="36" xfId="0" applyFont="1" applyBorder="1" applyAlignment="1">
      <alignment horizontal="left" vertical="center"/>
    </xf>
    <xf numFmtId="0" fontId="6" fillId="0" borderId="29" xfId="1" applyFont="1" applyBorder="1" applyAlignment="1">
      <alignment horizontal="left"/>
    </xf>
    <xf numFmtId="0" fontId="6" fillId="0" borderId="35" xfId="1" applyFont="1" applyBorder="1" applyAlignment="1">
      <alignment horizontal="left"/>
    </xf>
    <xf numFmtId="49" fontId="4" fillId="0" borderId="33" xfId="1" applyNumberFormat="1" applyFont="1" applyBorder="1" applyAlignment="1">
      <alignment horizontal="center" vertical="center"/>
    </xf>
    <xf numFmtId="164" fontId="4" fillId="0" borderId="33" xfId="1" applyNumberFormat="1" applyFont="1" applyBorder="1" applyAlignment="1">
      <alignment horizontal="center" vertical="center"/>
    </xf>
    <xf numFmtId="14" fontId="5" fillId="0" borderId="33" xfId="0" applyNumberFormat="1" applyFont="1" applyBorder="1" applyAlignment="1">
      <alignment horizontal="center" vertical="center"/>
    </xf>
    <xf numFmtId="0" fontId="6" fillId="0" borderId="33" xfId="0" applyFont="1" applyBorder="1" applyAlignment="1">
      <alignment horizontal="left" vertical="center"/>
    </xf>
    <xf numFmtId="0" fontId="6" fillId="0" borderId="43" xfId="0" applyFont="1" applyBorder="1" applyAlignment="1">
      <alignment horizontal="left" vertical="center"/>
    </xf>
    <xf numFmtId="0" fontId="2" fillId="2" borderId="2" xfId="1" applyFont="1" applyFill="1" applyBorder="1"/>
    <xf numFmtId="0" fontId="2" fillId="0" borderId="45" xfId="1" applyFont="1" applyBorder="1" applyAlignment="1">
      <alignment horizontal="center" vertical="center"/>
    </xf>
    <xf numFmtId="0" fontId="2" fillId="0" borderId="46" xfId="1" applyFont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3" borderId="45" xfId="1" applyFont="1" applyFill="1" applyBorder="1" applyAlignment="1">
      <alignment horizontal="center" vertical="center"/>
    </xf>
    <xf numFmtId="0" fontId="2" fillId="3" borderId="47" xfId="1" applyFont="1" applyFill="1" applyBorder="1" applyAlignment="1">
      <alignment horizontal="center" vertical="center"/>
    </xf>
    <xf numFmtId="0" fontId="2" fillId="0" borderId="45" xfId="1" applyFont="1" applyFill="1" applyBorder="1" applyAlignment="1">
      <alignment horizontal="center" vertical="center"/>
    </xf>
    <xf numFmtId="0" fontId="2" fillId="0" borderId="47" xfId="1" applyFont="1" applyFill="1" applyBorder="1" applyAlignment="1">
      <alignment horizontal="center" vertical="center"/>
    </xf>
    <xf numFmtId="0" fontId="2" fillId="4" borderId="45" xfId="1" applyFont="1" applyFill="1" applyBorder="1" applyAlignment="1">
      <alignment horizontal="center" vertical="center"/>
    </xf>
    <xf numFmtId="0" fontId="2" fillId="4" borderId="47" xfId="1" applyFont="1" applyFill="1" applyBorder="1" applyAlignment="1">
      <alignment horizontal="center" vertical="center"/>
    </xf>
    <xf numFmtId="0" fontId="2" fillId="4" borderId="33" xfId="1" applyFont="1" applyFill="1" applyBorder="1" applyAlignment="1">
      <alignment horizontal="center" vertical="center"/>
    </xf>
    <xf numFmtId="0" fontId="2" fillId="0" borderId="47" xfId="1" applyFont="1" applyBorder="1" applyAlignment="1">
      <alignment horizontal="center" vertical="center"/>
    </xf>
    <xf numFmtId="0" fontId="2" fillId="6" borderId="33" xfId="1" applyFont="1" applyFill="1" applyBorder="1" applyAlignment="1">
      <alignment horizontal="center" vertical="center"/>
    </xf>
    <xf numFmtId="0" fontId="2" fillId="5" borderId="45" xfId="1" applyFont="1" applyFill="1" applyBorder="1" applyAlignment="1">
      <alignment horizontal="center" vertical="center"/>
    </xf>
    <xf numFmtId="0" fontId="2" fillId="5" borderId="47" xfId="1" applyFont="1" applyFill="1" applyBorder="1" applyAlignment="1">
      <alignment horizontal="center" vertical="center"/>
    </xf>
    <xf numFmtId="0" fontId="2" fillId="5" borderId="33" xfId="1" applyFont="1" applyFill="1" applyBorder="1" applyAlignment="1">
      <alignment horizontal="center" vertical="center"/>
    </xf>
    <xf numFmtId="0" fontId="6" fillId="0" borderId="5" xfId="2" applyFont="1" applyBorder="1" applyAlignment="1">
      <alignment horizontal="left" vertical="center"/>
    </xf>
    <xf numFmtId="0" fontId="6" fillId="0" borderId="6" xfId="2" applyFont="1" applyBorder="1" applyAlignment="1">
      <alignment horizontal="left" vertical="center"/>
    </xf>
    <xf numFmtId="0" fontId="6" fillId="0" borderId="30" xfId="0" applyFont="1" applyBorder="1" applyAlignment="1">
      <alignment horizontal="left" vertical="center"/>
    </xf>
    <xf numFmtId="0" fontId="6" fillId="0" borderId="31" xfId="0" applyFont="1" applyBorder="1" applyAlignment="1">
      <alignment horizontal="left" vertical="center"/>
    </xf>
    <xf numFmtId="0" fontId="6" fillId="0" borderId="30" xfId="2" applyFont="1" applyBorder="1" applyAlignment="1">
      <alignment horizontal="left" vertical="center"/>
    </xf>
    <xf numFmtId="0" fontId="6" fillId="0" borderId="31" xfId="2" applyFont="1" applyBorder="1" applyAlignment="1">
      <alignment horizontal="left" vertical="center"/>
    </xf>
    <xf numFmtId="0" fontId="6" fillId="0" borderId="45" xfId="0" applyFont="1" applyBorder="1" applyAlignment="1">
      <alignment horizontal="left" vertical="center"/>
    </xf>
    <xf numFmtId="0" fontId="6" fillId="0" borderId="46" xfId="0" applyFont="1" applyBorder="1" applyAlignment="1">
      <alignment horizontal="left" vertical="center"/>
    </xf>
    <xf numFmtId="0" fontId="2" fillId="2" borderId="33" xfId="1" applyFont="1" applyFill="1" applyBorder="1"/>
    <xf numFmtId="0" fontId="2" fillId="2" borderId="33" xfId="1" applyFont="1" applyFill="1" applyBorder="1" applyAlignment="1">
      <alignment horizontal="center" vertical="center"/>
    </xf>
    <xf numFmtId="0" fontId="6" fillId="0" borderId="15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4" fillId="0" borderId="0" xfId="1" applyFont="1" applyAlignment="1">
      <alignment horizontal="center" vertical="center"/>
    </xf>
    <xf numFmtId="49" fontId="4" fillId="0" borderId="0" xfId="1" applyNumberFormat="1" applyFont="1" applyAlignment="1">
      <alignment horizontal="center" vertical="center"/>
    </xf>
    <xf numFmtId="164" fontId="4" fillId="0" borderId="0" xfId="1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/>
    </xf>
    <xf numFmtId="0" fontId="6" fillId="0" borderId="0" xfId="1" applyFont="1" applyAlignment="1">
      <alignment horizontal="left"/>
    </xf>
    <xf numFmtId="0" fontId="6" fillId="0" borderId="48" xfId="1" applyFont="1" applyBorder="1" applyAlignment="1">
      <alignment horizontal="left"/>
    </xf>
    <xf numFmtId="0" fontId="2" fillId="0" borderId="48" xfId="1" applyFont="1" applyBorder="1" applyAlignment="1">
      <alignment horizontal="center" vertical="center"/>
    </xf>
    <xf numFmtId="0" fontId="2" fillId="0" borderId="49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3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 vertical="center"/>
    </xf>
    <xf numFmtId="0" fontId="2" fillId="4" borderId="0" xfId="1" applyFont="1" applyFill="1" applyAlignment="1">
      <alignment horizontal="center" vertical="center"/>
    </xf>
    <xf numFmtId="0" fontId="4" fillId="0" borderId="0" xfId="1" applyFont="1"/>
    <xf numFmtId="0" fontId="2" fillId="3" borderId="7" xfId="1" applyFont="1" applyFill="1" applyBorder="1" applyAlignment="1">
      <alignment horizontal="center" vertical="center" wrapText="1"/>
    </xf>
    <xf numFmtId="0" fontId="2" fillId="3" borderId="8" xfId="1" applyFont="1" applyFill="1" applyBorder="1" applyAlignment="1">
      <alignment horizontal="center" vertical="center" wrapText="1"/>
    </xf>
    <xf numFmtId="0" fontId="2" fillId="3" borderId="9" xfId="1" applyFont="1" applyFill="1" applyBorder="1" applyAlignment="1">
      <alignment horizontal="center" vertical="center" wrapText="1"/>
    </xf>
    <xf numFmtId="0" fontId="2" fillId="0" borderId="1" xfId="1" applyFont="1" applyBorder="1" applyAlignment="1">
      <alignment vertical="center"/>
    </xf>
    <xf numFmtId="49" fontId="2" fillId="0" borderId="1" xfId="1" applyNumberFormat="1" applyFont="1" applyBorder="1" applyAlignment="1">
      <alignment vertical="center"/>
    </xf>
    <xf numFmtId="164" fontId="2" fillId="0" borderId="2" xfId="1" applyNumberFormat="1" applyFont="1" applyBorder="1" applyAlignment="1">
      <alignment vertical="center"/>
    </xf>
    <xf numFmtId="14" fontId="2" fillId="0" borderId="1" xfId="1" applyNumberFormat="1" applyFont="1" applyBorder="1" applyAlignment="1">
      <alignment vertical="center"/>
    </xf>
    <xf numFmtId="0" fontId="3" fillId="0" borderId="3" xfId="1" applyFont="1" applyBorder="1" applyAlignment="1">
      <alignment vertical="center"/>
    </xf>
    <xf numFmtId="0" fontId="3" fillId="0" borderId="4" xfId="1" applyFont="1" applyBorder="1" applyAlignment="1">
      <alignment vertical="center"/>
    </xf>
    <xf numFmtId="0" fontId="2" fillId="0" borderId="5" xfId="1" applyFont="1" applyBorder="1" applyAlignment="1">
      <alignment vertical="center" wrapText="1"/>
    </xf>
    <xf numFmtId="0" fontId="2" fillId="0" borderId="6" xfId="1" applyFont="1" applyBorder="1" applyAlignment="1">
      <alignment vertical="center" wrapText="1"/>
    </xf>
    <xf numFmtId="0" fontId="8" fillId="0" borderId="15" xfId="1" applyFont="1" applyBorder="1" applyAlignment="1">
      <alignment vertical="center" wrapText="1"/>
    </xf>
    <xf numFmtId="0" fontId="8" fillId="0" borderId="16" xfId="1" applyFont="1" applyBorder="1" applyAlignment="1">
      <alignment vertical="center" wrapText="1"/>
    </xf>
    <xf numFmtId="0" fontId="2" fillId="0" borderId="10" xfId="1" applyFont="1" applyBorder="1" applyAlignment="1">
      <alignment vertical="center" wrapText="1"/>
    </xf>
    <xf numFmtId="49" fontId="2" fillId="0" borderId="10" xfId="1" applyNumberFormat="1" applyFont="1" applyBorder="1" applyAlignment="1">
      <alignment vertical="center" wrapText="1"/>
    </xf>
    <xf numFmtId="164" fontId="2" fillId="0" borderId="11" xfId="1" applyNumberFormat="1" applyFont="1" applyBorder="1" applyAlignment="1">
      <alignment vertical="center" wrapText="1"/>
    </xf>
    <xf numFmtId="14" fontId="2" fillId="0" borderId="10" xfId="1" applyNumberFormat="1" applyFont="1" applyBorder="1" applyAlignment="1">
      <alignment vertical="center" wrapText="1"/>
    </xf>
    <xf numFmtId="0" fontId="3" fillId="0" borderId="12" xfId="1" applyFont="1" applyBorder="1" applyAlignment="1">
      <alignment vertical="center" wrapText="1"/>
    </xf>
    <xf numFmtId="0" fontId="3" fillId="0" borderId="13" xfId="1" applyFont="1" applyBorder="1" applyAlignment="1">
      <alignment vertical="center" wrapText="1"/>
    </xf>
    <xf numFmtId="0" fontId="2" fillId="3" borderId="14" xfId="1" applyFont="1" applyFill="1" applyBorder="1" applyAlignment="1">
      <alignment horizontal="center" vertical="center" wrapText="1"/>
    </xf>
    <xf numFmtId="0" fontId="2" fillId="0" borderId="14" xfId="1" applyFont="1" applyFill="1" applyBorder="1" applyAlignment="1">
      <alignment horizontal="center" vertical="center" wrapText="1"/>
    </xf>
    <xf numFmtId="0" fontId="2" fillId="4" borderId="14" xfId="1" applyFont="1" applyFill="1" applyBorder="1" applyAlignment="1">
      <alignment horizontal="center" vertical="center" wrapText="1"/>
    </xf>
    <xf numFmtId="0" fontId="2" fillId="5" borderId="14" xfId="1" applyFont="1" applyFill="1" applyBorder="1" applyAlignment="1">
      <alignment horizontal="center" vertical="center" wrapText="1"/>
    </xf>
    <xf numFmtId="0" fontId="2" fillId="0" borderId="0" xfId="1" applyFont="1" applyAlignment="1">
      <alignment wrapText="1"/>
    </xf>
    <xf numFmtId="0" fontId="2" fillId="3" borderId="17" xfId="1" applyFont="1" applyFill="1" applyBorder="1" applyAlignment="1">
      <alignment vertical="center" wrapText="1"/>
    </xf>
    <xf numFmtId="0" fontId="2" fillId="3" borderId="18" xfId="1" applyFont="1" applyFill="1" applyBorder="1" applyAlignment="1">
      <alignment vertical="center" wrapText="1"/>
    </xf>
    <xf numFmtId="0" fontId="2" fillId="0" borderId="17" xfId="1" applyFont="1" applyFill="1" applyBorder="1" applyAlignment="1">
      <alignment vertical="center" wrapText="1"/>
    </xf>
    <xf numFmtId="0" fontId="2" fillId="0" borderId="18" xfId="1" applyFont="1" applyFill="1" applyBorder="1" applyAlignment="1">
      <alignment vertical="center" wrapText="1"/>
    </xf>
    <xf numFmtId="0" fontId="2" fillId="4" borderId="17" xfId="1" applyFont="1" applyFill="1" applyBorder="1" applyAlignment="1">
      <alignment vertical="center" wrapText="1"/>
    </xf>
    <xf numFmtId="0" fontId="2" fillId="4" borderId="18" xfId="1" applyFont="1" applyFill="1" applyBorder="1" applyAlignment="1">
      <alignment vertical="center" wrapText="1"/>
    </xf>
    <xf numFmtId="0" fontId="2" fillId="5" borderId="17" xfId="1" applyFont="1" applyFill="1" applyBorder="1" applyAlignment="1">
      <alignment vertical="center" wrapText="1"/>
    </xf>
    <xf numFmtId="0" fontId="2" fillId="5" borderId="18" xfId="1" applyFont="1" applyFill="1" applyBorder="1" applyAlignment="1">
      <alignment vertical="center" wrapText="1"/>
    </xf>
    <xf numFmtId="0" fontId="2" fillId="0" borderId="7" xfId="1" applyFont="1" applyFill="1" applyBorder="1" applyAlignment="1">
      <alignment horizontal="center" vertical="center" wrapText="1"/>
    </xf>
    <xf numFmtId="0" fontId="2" fillId="0" borderId="8" xfId="1" applyFont="1" applyFill="1" applyBorder="1" applyAlignment="1">
      <alignment horizontal="center" vertical="center" wrapText="1"/>
    </xf>
    <xf numFmtId="0" fontId="2" fillId="0" borderId="9" xfId="1" applyFont="1" applyFill="1" applyBorder="1" applyAlignment="1">
      <alignment horizontal="center" vertical="center" wrapText="1"/>
    </xf>
    <xf numFmtId="0" fontId="2" fillId="4" borderId="7" xfId="1" applyFont="1" applyFill="1" applyBorder="1" applyAlignment="1">
      <alignment horizontal="center" vertical="center" wrapText="1"/>
    </xf>
    <xf numFmtId="0" fontId="2" fillId="4" borderId="8" xfId="1" applyFont="1" applyFill="1" applyBorder="1" applyAlignment="1">
      <alignment horizontal="center" vertical="center" wrapText="1"/>
    </xf>
    <xf numFmtId="0" fontId="2" fillId="4" borderId="9" xfId="1" applyFont="1" applyFill="1" applyBorder="1" applyAlignment="1">
      <alignment horizontal="center" vertical="center" wrapText="1"/>
    </xf>
    <xf numFmtId="0" fontId="2" fillId="0" borderId="7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5" borderId="7" xfId="1" applyFont="1" applyFill="1" applyBorder="1" applyAlignment="1">
      <alignment horizontal="center" vertical="center" wrapText="1"/>
    </xf>
    <xf numFmtId="0" fontId="2" fillId="5" borderId="8" xfId="1" applyFont="1" applyFill="1" applyBorder="1" applyAlignment="1">
      <alignment horizontal="center" vertical="center" wrapText="1"/>
    </xf>
    <xf numFmtId="0" fontId="2" fillId="5" borderId="9" xfId="1" applyFont="1" applyFill="1" applyBorder="1" applyAlignment="1">
      <alignment horizontal="center" vertical="center" wrapText="1"/>
    </xf>
  </cellXfs>
  <cellStyles count="3">
    <cellStyle name="Гиперссылка" xfId="2" builtinId="8"/>
    <cellStyle name="Обычный" xfId="0" builtinId="0"/>
    <cellStyle name="Обычный 2" xfId="1"/>
  </cellStyles>
  <dxfs count="12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BD74"/>
  <sheetViews>
    <sheetView tabSelected="1" zoomScaleNormal="100" workbookViewId="0">
      <pane xSplit="10" ySplit="2" topLeftCell="K3" activePane="bottomRight" state="frozen"/>
      <selection pane="topRight" activeCell="K1" sqref="K1"/>
      <selection pane="bottomLeft" activeCell="A3" sqref="A3"/>
      <selection pane="bottomRight" activeCell="N4" sqref="N4"/>
    </sheetView>
  </sheetViews>
  <sheetFormatPr defaultColWidth="9" defaultRowHeight="18.75" x14ac:dyDescent="0.3"/>
  <cols>
    <col min="1" max="1" width="4.25" style="331" customWidth="1"/>
    <col min="2" max="2" width="4.5" style="332" customWidth="1"/>
    <col min="3" max="3" width="6.75" style="333" bestFit="1" customWidth="1"/>
    <col min="4" max="4" width="11.375" style="334" bestFit="1" customWidth="1"/>
    <col min="5" max="6" width="24.125" style="335" customWidth="1"/>
    <col min="7" max="7" width="0.25" style="336" customWidth="1"/>
    <col min="8" max="8" width="5" style="337" customWidth="1"/>
    <col min="9" max="9" width="5" style="338" customWidth="1"/>
    <col min="10" max="10" width="0.375" style="339" customWidth="1"/>
    <col min="11" max="13" width="5" style="340" customWidth="1"/>
    <col min="14" max="16" width="5" style="341" customWidth="1"/>
    <col min="17" max="19" width="5" style="342" customWidth="1"/>
    <col min="20" max="22" width="5" style="339" customWidth="1"/>
    <col min="23" max="28" width="5" style="341" customWidth="1"/>
    <col min="29" max="56" width="9" style="3"/>
    <col min="57" max="16384" width="9" style="343"/>
  </cols>
  <sheetData>
    <row r="1" spans="1:28" s="3" customFormat="1" ht="18.600000000000001" customHeight="1" thickBot="1" x14ac:dyDescent="0.35">
      <c r="A1" s="347"/>
      <c r="B1" s="348" t="s">
        <v>0</v>
      </c>
      <c r="C1" s="349" t="s">
        <v>1</v>
      </c>
      <c r="D1" s="350" t="s">
        <v>2</v>
      </c>
      <c r="E1" s="351" t="s">
        <v>3</v>
      </c>
      <c r="F1" s="352"/>
      <c r="G1" s="1"/>
      <c r="H1" s="353" t="s">
        <v>4</v>
      </c>
      <c r="I1" s="354"/>
      <c r="J1" s="2"/>
      <c r="K1" s="344" t="s">
        <v>5</v>
      </c>
      <c r="L1" s="345"/>
      <c r="M1" s="346"/>
      <c r="N1" s="376" t="s">
        <v>6</v>
      </c>
      <c r="O1" s="377"/>
      <c r="P1" s="378"/>
      <c r="Q1" s="379" t="s">
        <v>7</v>
      </c>
      <c r="R1" s="380"/>
      <c r="S1" s="381"/>
      <c r="T1" s="382" t="s">
        <v>8</v>
      </c>
      <c r="U1" s="383"/>
      <c r="V1" s="384"/>
      <c r="W1" s="385" t="s">
        <v>9</v>
      </c>
      <c r="X1" s="386"/>
      <c r="Y1" s="387"/>
      <c r="Z1" s="376" t="s">
        <v>10</v>
      </c>
      <c r="AA1" s="377"/>
      <c r="AB1" s="378"/>
    </row>
    <row r="2" spans="1:28" s="367" customFormat="1" ht="90.75" customHeight="1" thickBot="1" x14ac:dyDescent="0.35">
      <c r="A2" s="357" t="s">
        <v>88</v>
      </c>
      <c r="B2" s="358" t="s">
        <v>87</v>
      </c>
      <c r="C2" s="359" t="s">
        <v>86</v>
      </c>
      <c r="D2" s="360" t="s">
        <v>85</v>
      </c>
      <c r="E2" s="361" t="s">
        <v>81</v>
      </c>
      <c r="F2" s="362" t="s">
        <v>82</v>
      </c>
      <c r="G2" s="4"/>
      <c r="H2" s="355" t="s">
        <v>83</v>
      </c>
      <c r="I2" s="356" t="s">
        <v>84</v>
      </c>
      <c r="J2" s="4"/>
      <c r="K2" s="368" t="s">
        <v>91</v>
      </c>
      <c r="L2" s="369" t="s">
        <v>92</v>
      </c>
      <c r="M2" s="363" t="s">
        <v>93</v>
      </c>
      <c r="N2" s="370" t="s">
        <v>89</v>
      </c>
      <c r="O2" s="371" t="s">
        <v>90</v>
      </c>
      <c r="P2" s="364" t="s">
        <v>93</v>
      </c>
      <c r="Q2" s="372" t="s">
        <v>89</v>
      </c>
      <c r="R2" s="373" t="s">
        <v>90</v>
      </c>
      <c r="S2" s="365" t="s">
        <v>93</v>
      </c>
      <c r="T2" s="370" t="s">
        <v>89</v>
      </c>
      <c r="U2" s="371" t="s">
        <v>90</v>
      </c>
      <c r="V2" s="364" t="s">
        <v>93</v>
      </c>
      <c r="W2" s="374" t="s">
        <v>89</v>
      </c>
      <c r="X2" s="375" t="s">
        <v>90</v>
      </c>
      <c r="Y2" s="366" t="s">
        <v>93</v>
      </c>
      <c r="Z2" s="370" t="s">
        <v>89</v>
      </c>
      <c r="AA2" s="371" t="s">
        <v>90</v>
      </c>
      <c r="AB2" s="364" t="s">
        <v>93</v>
      </c>
    </row>
    <row r="3" spans="1:28" s="3" customFormat="1" ht="19.5" thickBot="1" x14ac:dyDescent="0.35">
      <c r="A3" s="9">
        <f>IF(ISBLANK(#REF!),"",1)</f>
        <v>1</v>
      </c>
      <c r="B3" s="10" t="s">
        <v>11</v>
      </c>
      <c r="C3" s="11" t="s">
        <v>12</v>
      </c>
      <c r="D3" s="12">
        <v>46184</v>
      </c>
      <c r="E3" s="13" t="s">
        <v>13</v>
      </c>
      <c r="F3" s="13" t="s">
        <v>14</v>
      </c>
      <c r="G3" s="14">
        <v>2</v>
      </c>
      <c r="H3" s="15"/>
      <c r="I3" s="16"/>
      <c r="J3" s="14">
        <v>2</v>
      </c>
      <c r="K3" s="17">
        <v>3</v>
      </c>
      <c r="L3" s="18">
        <v>1</v>
      </c>
      <c r="M3" s="5" t="str">
        <f>IF(ISBLANK(H3),"",(IF((K3=H3)*AND(I3=L3),3,(IF(H3-I3=K3-L3,2,(IF((H3&gt;I3)*AND(K3&gt;L3),1,IF((H3&lt;I3)*AND(K3&lt;L3),1,0))))))))</f>
        <v/>
      </c>
      <c r="N3" s="19">
        <v>2</v>
      </c>
      <c r="O3" s="20">
        <v>1</v>
      </c>
      <c r="P3" s="6" t="str">
        <f t="shared" ref="P3:P68" si="0">IF(ISBLANK(H3),"",(IF((N3=H3)*AND(I3=O3),3,(IF(H3-I3=N3-O3,2,(IF((H3&gt;I3)*AND(N3&gt;O3),1,IF((H3&lt;I3)*AND(N3&lt;O3),1,0))))))))</f>
        <v/>
      </c>
      <c r="Q3" s="21">
        <v>3</v>
      </c>
      <c r="R3" s="22">
        <v>1</v>
      </c>
      <c r="S3" s="7" t="str">
        <f t="shared" ref="S3:S68" si="1">IF(ISBLANK(H3),"",(IF((Q3=H3)*AND(I3=R3),3,(IF(H3-I3=Q3-R3,2,(IF((H3&gt;I3)*AND(Q3&gt;R3),1,IF((H3&lt;I3)*AND(Q3&lt;R3),1,0))))))))</f>
        <v/>
      </c>
      <c r="T3" s="23">
        <v>2</v>
      </c>
      <c r="U3" s="24">
        <v>0</v>
      </c>
      <c r="V3" s="25" t="str">
        <f t="shared" ref="V3:V68" si="2">IF(ISBLANK(H3),"",(IF((T3=H3)*AND(I3=U3),3,(IF(H3-I3=T3-U3,2,(IF((H3&gt;I3)*AND(T3&gt;U3),1,IF((H3&lt;I3)*AND(T3&lt;U3),1,0))))))))</f>
        <v/>
      </c>
      <c r="W3" s="26">
        <v>2</v>
      </c>
      <c r="X3" s="27">
        <v>0</v>
      </c>
      <c r="Y3" s="8" t="str">
        <f>IF(ISBLANK(H3),"",(IF((W3=$H$3)*AND($I$3=X3),3,(IF($H$3-$I$3=W3-X3,2,(IF(($H$3&gt;$I$3)*AND(W3&gt;X3),1,IF(($H$3&lt;$I$3)*AND(W3&lt;X3),1,0))))))))</f>
        <v/>
      </c>
      <c r="Z3" s="19">
        <v>3</v>
      </c>
      <c r="AA3" s="20">
        <v>0</v>
      </c>
      <c r="AB3" s="6" t="str">
        <f t="shared" ref="AB3:AB23" si="3">IF(ISBLANK(H3),"",(IF((Z3=K3)*AND(L3=AA3),3,(IF(K3-L3=Z3-AA3,2,(IF((K3&gt;L3)*AND(Z3&gt;AA3),1,IF((K3&lt;L3)*AND(Z3&lt;AA3),1,0))))))))</f>
        <v/>
      </c>
    </row>
    <row r="4" spans="1:28" s="3" customFormat="1" x14ac:dyDescent="0.3">
      <c r="A4" s="28">
        <f>IF(ISBLANK(#REF!),"",A3+1)</f>
        <v>2</v>
      </c>
      <c r="B4" s="29" t="s">
        <v>15</v>
      </c>
      <c r="C4" s="30" t="s">
        <v>16</v>
      </c>
      <c r="D4" s="31">
        <f>D3+1</f>
        <v>46185</v>
      </c>
      <c r="E4" s="32" t="s">
        <v>17</v>
      </c>
      <c r="F4" s="32" t="s">
        <v>18</v>
      </c>
      <c r="G4" s="33"/>
      <c r="H4" s="34"/>
      <c r="I4" s="35"/>
      <c r="J4" s="33"/>
      <c r="K4" s="36">
        <v>1</v>
      </c>
      <c r="L4" s="37">
        <v>1</v>
      </c>
      <c r="M4" s="38" t="str">
        <f t="shared" ref="M4:M52" si="4">IF(ISBLANK(H4),"",(IF((K4=H4)*AND(I4=L4),3,(IF(H4-I4=K4-L4,2,(IF((H4&gt;I4)*AND(K4&gt;L4),1,IF((H4&lt;I4)*AND(K4&lt;L4),1,0))))))))</f>
        <v/>
      </c>
      <c r="N4" s="39">
        <v>1</v>
      </c>
      <c r="O4" s="40">
        <v>2</v>
      </c>
      <c r="P4" s="41" t="str">
        <f t="shared" si="0"/>
        <v/>
      </c>
      <c r="Q4" s="42">
        <v>1</v>
      </c>
      <c r="R4" s="43">
        <v>2</v>
      </c>
      <c r="S4" s="44" t="str">
        <f t="shared" si="1"/>
        <v/>
      </c>
      <c r="T4" s="45">
        <v>1</v>
      </c>
      <c r="U4" s="46">
        <v>0</v>
      </c>
      <c r="V4" s="47" t="str">
        <f t="shared" si="2"/>
        <v/>
      </c>
      <c r="W4" s="48">
        <v>1</v>
      </c>
      <c r="X4" s="49">
        <v>1</v>
      </c>
      <c r="Y4" s="50" t="str">
        <f t="shared" ref="Y4:Y69" si="5">IF(ISBLANK(H4),"",(IF((W4=H4)*AND(I4=X4),3,(IF(H4-I4=W4-X4,2,(IF((H4&gt;I4)*AND(W4&gt;X4),1,IF((H4&lt;I4)*AND(W4&lt;X4),1,0))))))))</f>
        <v/>
      </c>
      <c r="Z4" s="39">
        <v>1</v>
      </c>
      <c r="AA4" s="40">
        <v>1</v>
      </c>
      <c r="AB4" s="51" t="str">
        <f t="shared" si="3"/>
        <v/>
      </c>
    </row>
    <row r="5" spans="1:28" s="3" customFormat="1" ht="19.5" thickBot="1" x14ac:dyDescent="0.35">
      <c r="A5" s="54">
        <f>IF(ISBLANK(#REF!),"",A4+1)</f>
        <v>3</v>
      </c>
      <c r="B5" s="55" t="s">
        <v>19</v>
      </c>
      <c r="C5" s="56" t="s">
        <v>12</v>
      </c>
      <c r="D5" s="57">
        <f>D4</f>
        <v>46185</v>
      </c>
      <c r="E5" s="58" t="s">
        <v>20</v>
      </c>
      <c r="F5" s="59" t="s">
        <v>21</v>
      </c>
      <c r="G5" s="60"/>
      <c r="H5" s="61"/>
      <c r="I5" s="62"/>
      <c r="J5" s="60"/>
      <c r="K5" s="63">
        <v>1</v>
      </c>
      <c r="L5" s="64">
        <v>2</v>
      </c>
      <c r="M5" s="65" t="str">
        <f t="shared" si="4"/>
        <v/>
      </c>
      <c r="N5" s="66">
        <v>1</v>
      </c>
      <c r="O5" s="67">
        <v>0</v>
      </c>
      <c r="P5" s="68" t="str">
        <f t="shared" si="0"/>
        <v/>
      </c>
      <c r="Q5" s="69">
        <v>2</v>
      </c>
      <c r="R5" s="70">
        <v>1</v>
      </c>
      <c r="S5" s="71" t="str">
        <f t="shared" si="1"/>
        <v/>
      </c>
      <c r="T5" s="72">
        <v>1</v>
      </c>
      <c r="U5" s="73">
        <v>0</v>
      </c>
      <c r="V5" s="74" t="str">
        <f t="shared" si="2"/>
        <v/>
      </c>
      <c r="W5" s="75">
        <v>2</v>
      </c>
      <c r="X5" s="76">
        <v>0</v>
      </c>
      <c r="Y5" s="77" t="str">
        <f t="shared" si="5"/>
        <v/>
      </c>
      <c r="Z5" s="66">
        <v>2</v>
      </c>
      <c r="AA5" s="67">
        <v>1</v>
      </c>
      <c r="AB5" s="68" t="str">
        <f t="shared" si="3"/>
        <v/>
      </c>
    </row>
    <row r="6" spans="1:28" s="3" customFormat="1" x14ac:dyDescent="0.3">
      <c r="A6" s="78">
        <f>IF(ISBLANK(#REF!),"",A5+1)</f>
        <v>4</v>
      </c>
      <c r="B6" s="79" t="s">
        <v>22</v>
      </c>
      <c r="C6" s="80" t="s">
        <v>23</v>
      </c>
      <c r="D6" s="81">
        <f>D5+1</f>
        <v>46186</v>
      </c>
      <c r="E6" s="82" t="s">
        <v>24</v>
      </c>
      <c r="F6" s="82" t="s">
        <v>25</v>
      </c>
      <c r="G6" s="83"/>
      <c r="H6" s="84"/>
      <c r="I6" s="85"/>
      <c r="J6" s="83"/>
      <c r="K6" s="86">
        <v>2</v>
      </c>
      <c r="L6" s="87">
        <v>1</v>
      </c>
      <c r="M6" s="88" t="str">
        <f t="shared" si="4"/>
        <v/>
      </c>
      <c r="N6" s="89">
        <v>2</v>
      </c>
      <c r="O6" s="90">
        <v>0</v>
      </c>
      <c r="P6" s="91" t="str">
        <f t="shared" si="0"/>
        <v/>
      </c>
      <c r="Q6" s="92">
        <v>2</v>
      </c>
      <c r="R6" s="93">
        <v>0</v>
      </c>
      <c r="S6" s="53" t="str">
        <f t="shared" si="1"/>
        <v/>
      </c>
      <c r="T6" s="94">
        <v>1</v>
      </c>
      <c r="U6" s="95">
        <v>0</v>
      </c>
      <c r="V6" s="96" t="str">
        <f t="shared" si="2"/>
        <v/>
      </c>
      <c r="W6" s="97">
        <v>2</v>
      </c>
      <c r="X6" s="98">
        <v>0</v>
      </c>
      <c r="Y6" s="52" t="str">
        <f t="shared" si="5"/>
        <v/>
      </c>
      <c r="Z6" s="99">
        <v>2</v>
      </c>
      <c r="AA6" s="100">
        <v>0</v>
      </c>
      <c r="AB6" s="51" t="str">
        <f t="shared" si="3"/>
        <v/>
      </c>
    </row>
    <row r="7" spans="1:28" s="3" customFormat="1" ht="19.5" thickBot="1" x14ac:dyDescent="0.35">
      <c r="A7" s="54">
        <f>IF(ISBLANK(#REF!),"",A6+1)</f>
        <v>5</v>
      </c>
      <c r="B7" s="55" t="s">
        <v>19</v>
      </c>
      <c r="C7" s="56" t="s">
        <v>12</v>
      </c>
      <c r="D7" s="57">
        <f>D6</f>
        <v>46186</v>
      </c>
      <c r="E7" s="59" t="s">
        <v>26</v>
      </c>
      <c r="F7" s="59" t="s">
        <v>27</v>
      </c>
      <c r="G7" s="60"/>
      <c r="H7" s="61"/>
      <c r="I7" s="62"/>
      <c r="J7" s="60"/>
      <c r="K7" s="63">
        <v>1</v>
      </c>
      <c r="L7" s="64">
        <v>1</v>
      </c>
      <c r="M7" s="65" t="str">
        <f t="shared" si="4"/>
        <v/>
      </c>
      <c r="N7" s="66">
        <v>1</v>
      </c>
      <c r="O7" s="67">
        <v>2</v>
      </c>
      <c r="P7" s="68" t="str">
        <f t="shared" si="0"/>
        <v/>
      </c>
      <c r="Q7" s="101">
        <v>0</v>
      </c>
      <c r="R7" s="102">
        <v>3</v>
      </c>
      <c r="S7" s="71" t="str">
        <f t="shared" si="1"/>
        <v/>
      </c>
      <c r="T7" s="103">
        <v>0</v>
      </c>
      <c r="U7" s="104">
        <v>2</v>
      </c>
      <c r="V7" s="74" t="str">
        <f t="shared" si="2"/>
        <v/>
      </c>
      <c r="W7" s="105">
        <v>0</v>
      </c>
      <c r="X7" s="106">
        <v>3</v>
      </c>
      <c r="Y7" s="77" t="str">
        <f t="shared" si="5"/>
        <v/>
      </c>
      <c r="Z7" s="107">
        <v>0</v>
      </c>
      <c r="AA7" s="108">
        <v>2</v>
      </c>
      <c r="AB7" s="68" t="str">
        <f t="shared" si="3"/>
        <v/>
      </c>
    </row>
    <row r="8" spans="1:28" s="3" customFormat="1" x14ac:dyDescent="0.3">
      <c r="A8" s="78">
        <f>IF(ISBLANK(#REF!),"",A7+1)</f>
        <v>6</v>
      </c>
      <c r="B8" s="79" t="s">
        <v>28</v>
      </c>
      <c r="C8" s="80" t="s">
        <v>29</v>
      </c>
      <c r="D8" s="81">
        <f>D7+1</f>
        <v>46187</v>
      </c>
      <c r="E8" s="82" t="s">
        <v>30</v>
      </c>
      <c r="F8" s="82" t="s">
        <v>31</v>
      </c>
      <c r="G8" s="83"/>
      <c r="H8" s="84"/>
      <c r="I8" s="85"/>
      <c r="J8" s="83"/>
      <c r="K8" s="86">
        <v>2</v>
      </c>
      <c r="L8" s="87">
        <v>1</v>
      </c>
      <c r="M8" s="88" t="str">
        <f t="shared" si="4"/>
        <v/>
      </c>
      <c r="N8" s="89">
        <v>3</v>
      </c>
      <c r="O8" s="90">
        <v>0</v>
      </c>
      <c r="P8" s="91" t="str">
        <f t="shared" si="0"/>
        <v/>
      </c>
      <c r="Q8" s="92">
        <v>2</v>
      </c>
      <c r="R8" s="93">
        <v>1</v>
      </c>
      <c r="S8" s="53" t="str">
        <f t="shared" si="1"/>
        <v/>
      </c>
      <c r="T8" s="94">
        <v>3</v>
      </c>
      <c r="U8" s="95">
        <v>0</v>
      </c>
      <c r="V8" s="96" t="str">
        <f t="shared" si="2"/>
        <v/>
      </c>
      <c r="W8" s="97">
        <v>2</v>
      </c>
      <c r="X8" s="98">
        <v>1</v>
      </c>
      <c r="Y8" s="52" t="str">
        <f t="shared" si="5"/>
        <v/>
      </c>
      <c r="Z8" s="99">
        <v>3</v>
      </c>
      <c r="AA8" s="100">
        <v>0</v>
      </c>
      <c r="AB8" s="51" t="str">
        <f t="shared" si="3"/>
        <v/>
      </c>
    </row>
    <row r="9" spans="1:28" s="3" customFormat="1" x14ac:dyDescent="0.3">
      <c r="A9" s="109">
        <f>IF(ISBLANK(#REF!),"",A8+1)</f>
        <v>7</v>
      </c>
      <c r="B9" s="110" t="s">
        <v>28</v>
      </c>
      <c r="C9" s="111" t="s">
        <v>23</v>
      </c>
      <c r="D9" s="112">
        <f t="shared" ref="D9:D10" si="6">D8</f>
        <v>46187</v>
      </c>
      <c r="E9" s="113" t="s">
        <v>32</v>
      </c>
      <c r="F9" s="113" t="s">
        <v>33</v>
      </c>
      <c r="G9" s="114"/>
      <c r="H9" s="115"/>
      <c r="I9" s="116"/>
      <c r="J9" s="114"/>
      <c r="K9" s="117">
        <v>0</v>
      </c>
      <c r="L9" s="118">
        <v>2</v>
      </c>
      <c r="M9" s="119" t="str">
        <f t="shared" si="4"/>
        <v/>
      </c>
      <c r="N9" s="120">
        <v>0</v>
      </c>
      <c r="O9" s="121">
        <v>3</v>
      </c>
      <c r="P9" s="122" t="str">
        <f t="shared" si="0"/>
        <v/>
      </c>
      <c r="Q9" s="123">
        <v>1</v>
      </c>
      <c r="R9" s="124">
        <v>3</v>
      </c>
      <c r="S9" s="125" t="str">
        <f t="shared" si="1"/>
        <v/>
      </c>
      <c r="T9" s="126">
        <v>1</v>
      </c>
      <c r="U9" s="127">
        <v>2</v>
      </c>
      <c r="V9" s="128" t="str">
        <f t="shared" si="2"/>
        <v/>
      </c>
      <c r="W9" s="129">
        <v>0</v>
      </c>
      <c r="X9" s="130">
        <v>2</v>
      </c>
      <c r="Y9" s="131" t="str">
        <f t="shared" si="5"/>
        <v/>
      </c>
      <c r="Z9" s="132">
        <v>0</v>
      </c>
      <c r="AA9" s="133">
        <v>4</v>
      </c>
      <c r="AB9" s="134" t="str">
        <f t="shared" si="3"/>
        <v/>
      </c>
    </row>
    <row r="10" spans="1:28" s="3" customFormat="1" x14ac:dyDescent="0.3">
      <c r="A10" s="109">
        <f>IF(ISBLANK(#REF!),"",A9+1)</f>
        <v>8</v>
      </c>
      <c r="B10" s="110" t="s">
        <v>22</v>
      </c>
      <c r="C10" s="111" t="s">
        <v>34</v>
      </c>
      <c r="D10" s="112">
        <f t="shared" si="6"/>
        <v>46187</v>
      </c>
      <c r="E10" s="113" t="s">
        <v>35</v>
      </c>
      <c r="F10" s="113" t="s">
        <v>36</v>
      </c>
      <c r="G10" s="114"/>
      <c r="H10" s="115"/>
      <c r="I10" s="116"/>
      <c r="J10" s="114"/>
      <c r="K10" s="117">
        <v>0</v>
      </c>
      <c r="L10" s="118">
        <v>3</v>
      </c>
      <c r="M10" s="119" t="str">
        <f t="shared" si="4"/>
        <v/>
      </c>
      <c r="N10" s="120">
        <v>1</v>
      </c>
      <c r="O10" s="121">
        <v>2</v>
      </c>
      <c r="P10" s="122" t="str">
        <f t="shared" si="0"/>
        <v/>
      </c>
      <c r="Q10" s="123">
        <v>1</v>
      </c>
      <c r="R10" s="124">
        <v>2</v>
      </c>
      <c r="S10" s="125" t="str">
        <f t="shared" si="1"/>
        <v/>
      </c>
      <c r="T10" s="126">
        <v>0</v>
      </c>
      <c r="U10" s="127">
        <v>2</v>
      </c>
      <c r="V10" s="128" t="str">
        <f t="shared" si="2"/>
        <v/>
      </c>
      <c r="W10" s="129">
        <v>1</v>
      </c>
      <c r="X10" s="130">
        <v>2</v>
      </c>
      <c r="Y10" s="131" t="str">
        <f t="shared" si="5"/>
        <v/>
      </c>
      <c r="Z10" s="132">
        <v>1</v>
      </c>
      <c r="AA10" s="133">
        <v>2</v>
      </c>
      <c r="AB10" s="134" t="str">
        <f t="shared" si="3"/>
        <v/>
      </c>
    </row>
    <row r="11" spans="1:28" s="3" customFormat="1" x14ac:dyDescent="0.3">
      <c r="A11" s="109">
        <f>IF(ISBLANK(#REF!),"",A10+1)</f>
        <v>9</v>
      </c>
      <c r="B11" s="110" t="s">
        <v>37</v>
      </c>
      <c r="C11" s="111" t="s">
        <v>38</v>
      </c>
      <c r="D11" s="112">
        <f>D8</f>
        <v>46187</v>
      </c>
      <c r="E11" s="113" t="s">
        <v>39</v>
      </c>
      <c r="F11" s="113" t="s">
        <v>40</v>
      </c>
      <c r="G11" s="114"/>
      <c r="H11" s="115"/>
      <c r="I11" s="116"/>
      <c r="J11" s="114"/>
      <c r="K11" s="117">
        <v>7</v>
      </c>
      <c r="L11" s="118">
        <v>0</v>
      </c>
      <c r="M11" s="119" t="str">
        <f t="shared" si="4"/>
        <v/>
      </c>
      <c r="N11" s="120">
        <v>8</v>
      </c>
      <c r="O11" s="121">
        <v>0</v>
      </c>
      <c r="P11" s="122" t="str">
        <f t="shared" si="0"/>
        <v/>
      </c>
      <c r="Q11" s="123">
        <v>8</v>
      </c>
      <c r="R11" s="124">
        <v>0</v>
      </c>
      <c r="S11" s="125" t="str">
        <f t="shared" si="1"/>
        <v/>
      </c>
      <c r="T11" s="135">
        <v>3</v>
      </c>
      <c r="U11" s="136">
        <v>0</v>
      </c>
      <c r="V11" s="128" t="str">
        <f t="shared" si="2"/>
        <v/>
      </c>
      <c r="W11" s="129">
        <v>5</v>
      </c>
      <c r="X11" s="130">
        <v>0</v>
      </c>
      <c r="Y11" s="131" t="str">
        <f t="shared" si="5"/>
        <v/>
      </c>
      <c r="Z11" s="132">
        <v>8</v>
      </c>
      <c r="AA11" s="133">
        <v>0</v>
      </c>
      <c r="AB11" s="134" t="str">
        <f t="shared" si="3"/>
        <v/>
      </c>
    </row>
    <row r="12" spans="1:28" s="3" customFormat="1" ht="19.5" thickBot="1" x14ac:dyDescent="0.35">
      <c r="A12" s="54">
        <f>IF(ISBLANK(#REF!),"",A11+1)</f>
        <v>10</v>
      </c>
      <c r="B12" s="55" t="s">
        <v>41</v>
      </c>
      <c r="C12" s="56" t="s">
        <v>42</v>
      </c>
      <c r="D12" s="57">
        <f>D11</f>
        <v>46187</v>
      </c>
      <c r="E12" s="59" t="s">
        <v>43</v>
      </c>
      <c r="F12" s="59" t="s">
        <v>44</v>
      </c>
      <c r="G12" s="60"/>
      <c r="H12" s="61"/>
      <c r="I12" s="62"/>
      <c r="J12" s="60"/>
      <c r="K12" s="63">
        <v>1</v>
      </c>
      <c r="L12" s="64">
        <v>2</v>
      </c>
      <c r="M12" s="65" t="str">
        <f t="shared" si="4"/>
        <v/>
      </c>
      <c r="N12" s="66">
        <v>2</v>
      </c>
      <c r="O12" s="67">
        <v>1</v>
      </c>
      <c r="P12" s="68" t="str">
        <f t="shared" si="0"/>
        <v/>
      </c>
      <c r="Q12" s="101">
        <v>2</v>
      </c>
      <c r="R12" s="102">
        <v>1</v>
      </c>
      <c r="S12" s="71" t="str">
        <f t="shared" si="1"/>
        <v/>
      </c>
      <c r="T12" s="137">
        <v>1</v>
      </c>
      <c r="U12" s="138">
        <v>1</v>
      </c>
      <c r="V12" s="74" t="str">
        <f t="shared" si="2"/>
        <v/>
      </c>
      <c r="W12" s="105">
        <v>2</v>
      </c>
      <c r="X12" s="106">
        <v>1</v>
      </c>
      <c r="Y12" s="77" t="str">
        <f t="shared" si="5"/>
        <v/>
      </c>
      <c r="Z12" s="107">
        <v>2</v>
      </c>
      <c r="AA12" s="108">
        <v>1</v>
      </c>
      <c r="AB12" s="68" t="str">
        <f t="shared" si="3"/>
        <v/>
      </c>
    </row>
    <row r="13" spans="1:28" s="3" customFormat="1" x14ac:dyDescent="0.3">
      <c r="A13" s="78">
        <f>IF(ISBLANK(#REF!),"",A12+1)</f>
        <v>11</v>
      </c>
      <c r="B13" s="79" t="s">
        <v>37</v>
      </c>
      <c r="C13" s="80">
        <v>8.3333333333333329E-2</v>
      </c>
      <c r="D13" s="81">
        <f>D12+1</f>
        <v>46188</v>
      </c>
      <c r="E13" s="139" t="s">
        <v>45</v>
      </c>
      <c r="F13" s="82" t="s">
        <v>46</v>
      </c>
      <c r="G13" s="83"/>
      <c r="H13" s="84"/>
      <c r="I13" s="85"/>
      <c r="J13" s="83"/>
      <c r="K13" s="86">
        <v>2</v>
      </c>
      <c r="L13" s="87">
        <v>1</v>
      </c>
      <c r="M13" s="88" t="str">
        <f t="shared" si="4"/>
        <v/>
      </c>
      <c r="N13" s="89">
        <v>3</v>
      </c>
      <c r="O13" s="90">
        <v>1</v>
      </c>
      <c r="P13" s="91" t="str">
        <f t="shared" si="0"/>
        <v/>
      </c>
      <c r="Q13" s="92">
        <v>1</v>
      </c>
      <c r="R13" s="93">
        <v>1</v>
      </c>
      <c r="S13" s="53" t="str">
        <f t="shared" si="1"/>
        <v/>
      </c>
      <c r="T13" s="140">
        <v>1</v>
      </c>
      <c r="U13" s="141">
        <v>1</v>
      </c>
      <c r="V13" s="96" t="str">
        <f t="shared" si="2"/>
        <v/>
      </c>
      <c r="W13" s="97">
        <v>1</v>
      </c>
      <c r="X13" s="98">
        <v>1</v>
      </c>
      <c r="Y13" s="52" t="str">
        <f t="shared" si="5"/>
        <v/>
      </c>
      <c r="Z13" s="99">
        <v>2</v>
      </c>
      <c r="AA13" s="100">
        <v>2</v>
      </c>
      <c r="AB13" s="51" t="str">
        <f t="shared" si="3"/>
        <v/>
      </c>
    </row>
    <row r="14" spans="1:28" s="3" customFormat="1" x14ac:dyDescent="0.3">
      <c r="A14" s="109">
        <f>IF(ISBLANK(#REF!),"",A13+1)</f>
        <v>12</v>
      </c>
      <c r="B14" s="110" t="s">
        <v>41</v>
      </c>
      <c r="C14" s="111">
        <v>0.20833333333333334</v>
      </c>
      <c r="D14" s="112">
        <f t="shared" ref="D14" si="7">D13</f>
        <v>46188</v>
      </c>
      <c r="E14" s="113" t="s">
        <v>47</v>
      </c>
      <c r="F14" s="113" t="s">
        <v>48</v>
      </c>
      <c r="G14" s="114"/>
      <c r="H14" s="115"/>
      <c r="I14" s="116"/>
      <c r="J14" s="114"/>
      <c r="K14" s="117">
        <v>1</v>
      </c>
      <c r="L14" s="118">
        <v>1</v>
      </c>
      <c r="M14" s="119" t="str">
        <f t="shared" si="4"/>
        <v/>
      </c>
      <c r="N14" s="120">
        <v>2</v>
      </c>
      <c r="O14" s="121">
        <v>0</v>
      </c>
      <c r="P14" s="122" t="str">
        <f t="shared" si="0"/>
        <v/>
      </c>
      <c r="Q14" s="123">
        <v>1</v>
      </c>
      <c r="R14" s="124">
        <v>0</v>
      </c>
      <c r="S14" s="125" t="str">
        <f t="shared" si="1"/>
        <v/>
      </c>
      <c r="T14" s="135">
        <v>2</v>
      </c>
      <c r="U14" s="136">
        <v>0</v>
      </c>
      <c r="V14" s="128" t="str">
        <f t="shared" si="2"/>
        <v/>
      </c>
      <c r="W14" s="129">
        <v>1</v>
      </c>
      <c r="X14" s="130">
        <v>0</v>
      </c>
      <c r="Y14" s="131" t="str">
        <f t="shared" si="5"/>
        <v/>
      </c>
      <c r="Z14" s="132">
        <v>1</v>
      </c>
      <c r="AA14" s="133">
        <v>0</v>
      </c>
      <c r="AB14" s="134" t="str">
        <f t="shared" si="3"/>
        <v/>
      </c>
    </row>
    <row r="15" spans="1:28" s="3" customFormat="1" x14ac:dyDescent="0.3">
      <c r="A15" s="109">
        <f>IF(ISBLANK(#REF!),"",A14+1)</f>
        <v>13</v>
      </c>
      <c r="B15" s="110" t="s">
        <v>49</v>
      </c>
      <c r="C15" s="111">
        <v>0.79166666666666663</v>
      </c>
      <c r="D15" s="112">
        <f>D14</f>
        <v>46188</v>
      </c>
      <c r="E15" s="113" t="s">
        <v>50</v>
      </c>
      <c r="F15" s="113" t="s">
        <v>51</v>
      </c>
      <c r="G15" s="114"/>
      <c r="H15" s="142"/>
      <c r="I15" s="143"/>
      <c r="J15" s="114"/>
      <c r="K15" s="117">
        <v>6</v>
      </c>
      <c r="L15" s="118">
        <v>1</v>
      </c>
      <c r="M15" s="119" t="str">
        <f t="shared" si="4"/>
        <v/>
      </c>
      <c r="N15" s="144">
        <v>5</v>
      </c>
      <c r="O15" s="145">
        <v>0</v>
      </c>
      <c r="P15" s="122" t="str">
        <f t="shared" si="0"/>
        <v/>
      </c>
      <c r="Q15" s="146">
        <v>6</v>
      </c>
      <c r="R15" s="147">
        <v>0</v>
      </c>
      <c r="S15" s="125" t="str">
        <f t="shared" si="1"/>
        <v/>
      </c>
      <c r="T15" s="142">
        <v>3</v>
      </c>
      <c r="U15" s="148">
        <v>0</v>
      </c>
      <c r="V15" s="128" t="str">
        <f t="shared" si="2"/>
        <v/>
      </c>
      <c r="W15" s="149">
        <v>4</v>
      </c>
      <c r="X15" s="150">
        <v>0</v>
      </c>
      <c r="Y15" s="131" t="str">
        <f t="shared" si="5"/>
        <v/>
      </c>
      <c r="Z15" s="151">
        <v>4</v>
      </c>
      <c r="AA15" s="152">
        <v>0</v>
      </c>
      <c r="AB15" s="134" t="str">
        <f t="shared" si="3"/>
        <v/>
      </c>
    </row>
    <row r="16" spans="1:28" s="3" customFormat="1" ht="19.5" thickBot="1" x14ac:dyDescent="0.35">
      <c r="A16" s="54">
        <f>IF(ISBLANK(#REF!),"",A15+1)</f>
        <v>14</v>
      </c>
      <c r="B16" s="55" t="s">
        <v>52</v>
      </c>
      <c r="C16" s="56">
        <v>0.91666666666666663</v>
      </c>
      <c r="D16" s="57">
        <f>D15</f>
        <v>46188</v>
      </c>
      <c r="E16" s="59" t="s">
        <v>53</v>
      </c>
      <c r="F16" s="59" t="s">
        <v>54</v>
      </c>
      <c r="G16" s="60"/>
      <c r="H16" s="153"/>
      <c r="I16" s="154"/>
      <c r="J16" s="60"/>
      <c r="K16" s="63">
        <v>2</v>
      </c>
      <c r="L16" s="64">
        <v>2</v>
      </c>
      <c r="M16" s="65" t="str">
        <f t="shared" si="4"/>
        <v/>
      </c>
      <c r="N16" s="155">
        <v>3</v>
      </c>
      <c r="O16" s="156">
        <v>1</v>
      </c>
      <c r="P16" s="68" t="str">
        <f t="shared" si="0"/>
        <v/>
      </c>
      <c r="Q16" s="157">
        <v>3</v>
      </c>
      <c r="R16" s="158">
        <v>1</v>
      </c>
      <c r="S16" s="71" t="str">
        <f t="shared" si="1"/>
        <v/>
      </c>
      <c r="T16" s="153">
        <v>2</v>
      </c>
      <c r="U16" s="159">
        <v>0</v>
      </c>
      <c r="V16" s="74" t="str">
        <f t="shared" si="2"/>
        <v/>
      </c>
      <c r="W16" s="160">
        <v>2</v>
      </c>
      <c r="X16" s="161">
        <v>0</v>
      </c>
      <c r="Y16" s="77" t="str">
        <f t="shared" si="5"/>
        <v/>
      </c>
      <c r="Z16" s="162">
        <v>3</v>
      </c>
      <c r="AA16" s="163">
        <v>1</v>
      </c>
      <c r="AB16" s="68" t="str">
        <f t="shared" si="3"/>
        <v/>
      </c>
    </row>
    <row r="17" spans="1:28" s="3" customFormat="1" x14ac:dyDescent="0.3">
      <c r="A17" s="78">
        <f>IF(ISBLANK(#REF!),"",A16+1)</f>
        <v>15</v>
      </c>
      <c r="B17" s="79" t="s">
        <v>49</v>
      </c>
      <c r="C17" s="80">
        <v>4.1666666666666664E-2</v>
      </c>
      <c r="D17" s="81">
        <v>46189</v>
      </c>
      <c r="E17" s="82" t="s">
        <v>55</v>
      </c>
      <c r="F17" s="82" t="s">
        <v>56</v>
      </c>
      <c r="G17" s="83"/>
      <c r="H17" s="164"/>
      <c r="I17" s="165"/>
      <c r="J17" s="83"/>
      <c r="K17" s="86">
        <v>0</v>
      </c>
      <c r="L17" s="87">
        <v>2</v>
      </c>
      <c r="M17" s="88" t="str">
        <f t="shared" si="4"/>
        <v/>
      </c>
      <c r="N17" s="166">
        <v>1</v>
      </c>
      <c r="O17" s="167">
        <v>3</v>
      </c>
      <c r="P17" s="91" t="str">
        <f t="shared" si="0"/>
        <v/>
      </c>
      <c r="Q17" s="168">
        <v>0</v>
      </c>
      <c r="R17" s="169">
        <v>3</v>
      </c>
      <c r="S17" s="53" t="str">
        <f t="shared" si="1"/>
        <v/>
      </c>
      <c r="T17" s="164">
        <v>0</v>
      </c>
      <c r="U17" s="170">
        <v>4</v>
      </c>
      <c r="V17" s="96" t="str">
        <f t="shared" si="2"/>
        <v/>
      </c>
      <c r="W17" s="171">
        <v>0</v>
      </c>
      <c r="X17" s="172">
        <v>2</v>
      </c>
      <c r="Y17" s="52" t="str">
        <f t="shared" si="5"/>
        <v/>
      </c>
      <c r="Z17" s="173">
        <v>0</v>
      </c>
      <c r="AA17" s="174">
        <v>2</v>
      </c>
      <c r="AB17" s="51" t="str">
        <f t="shared" si="3"/>
        <v/>
      </c>
    </row>
    <row r="18" spans="1:28" s="3" customFormat="1" x14ac:dyDescent="0.3">
      <c r="A18" s="109">
        <f>IF(ISBLANK(#REF!),"",A17+1)</f>
        <v>16</v>
      </c>
      <c r="B18" s="110" t="s">
        <v>52</v>
      </c>
      <c r="C18" s="111">
        <v>0.16666666666666666</v>
      </c>
      <c r="D18" s="112">
        <f t="shared" ref="D18:D19" si="8">D17</f>
        <v>46189</v>
      </c>
      <c r="E18" s="113" t="s">
        <v>57</v>
      </c>
      <c r="F18" s="113" t="s">
        <v>58</v>
      </c>
      <c r="G18" s="114"/>
      <c r="H18" s="142"/>
      <c r="I18" s="143"/>
      <c r="J18" s="114"/>
      <c r="K18" s="117">
        <v>1</v>
      </c>
      <c r="L18" s="118">
        <v>0</v>
      </c>
      <c r="M18" s="119" t="str">
        <f t="shared" si="4"/>
        <v/>
      </c>
      <c r="N18" s="151">
        <v>2</v>
      </c>
      <c r="O18" s="152">
        <v>0</v>
      </c>
      <c r="P18" s="122" t="str">
        <f t="shared" si="0"/>
        <v/>
      </c>
      <c r="Q18" s="146">
        <v>2</v>
      </c>
      <c r="R18" s="147">
        <v>0</v>
      </c>
      <c r="S18" s="125" t="str">
        <f t="shared" si="1"/>
        <v/>
      </c>
      <c r="T18" s="142">
        <v>0</v>
      </c>
      <c r="U18" s="148">
        <v>1</v>
      </c>
      <c r="V18" s="128" t="str">
        <f t="shared" si="2"/>
        <v/>
      </c>
      <c r="W18" s="149">
        <v>1</v>
      </c>
      <c r="X18" s="150">
        <v>0</v>
      </c>
      <c r="Y18" s="131" t="str">
        <f t="shared" si="5"/>
        <v/>
      </c>
      <c r="Z18" s="151">
        <v>2</v>
      </c>
      <c r="AA18" s="152">
        <v>1</v>
      </c>
      <c r="AB18" s="134" t="str">
        <f t="shared" si="3"/>
        <v/>
      </c>
    </row>
    <row r="19" spans="1:28" s="3" customFormat="1" ht="19.5" thickBot="1" x14ac:dyDescent="0.35">
      <c r="A19" s="54">
        <f>IF(ISBLANK(#REF!),"",A18+1)</f>
        <v>17</v>
      </c>
      <c r="B19" s="55" t="s">
        <v>59</v>
      </c>
      <c r="C19" s="56">
        <v>0.91666666666666663</v>
      </c>
      <c r="D19" s="57">
        <f t="shared" si="8"/>
        <v>46189</v>
      </c>
      <c r="E19" s="59" t="s">
        <v>60</v>
      </c>
      <c r="F19" s="59" t="s">
        <v>61</v>
      </c>
      <c r="G19" s="175"/>
      <c r="H19" s="153"/>
      <c r="I19" s="154"/>
      <c r="J19" s="60"/>
      <c r="K19" s="63">
        <v>4</v>
      </c>
      <c r="L19" s="64">
        <v>1</v>
      </c>
      <c r="M19" s="65" t="str">
        <f t="shared" si="4"/>
        <v/>
      </c>
      <c r="N19" s="162">
        <v>3</v>
      </c>
      <c r="O19" s="163">
        <v>1</v>
      </c>
      <c r="P19" s="68" t="str">
        <f t="shared" si="0"/>
        <v/>
      </c>
      <c r="Q19" s="157">
        <v>4</v>
      </c>
      <c r="R19" s="158">
        <v>1</v>
      </c>
      <c r="S19" s="71" t="str">
        <f t="shared" si="1"/>
        <v/>
      </c>
      <c r="T19" s="153">
        <v>1</v>
      </c>
      <c r="U19" s="159">
        <v>0</v>
      </c>
      <c r="V19" s="74" t="str">
        <f t="shared" si="2"/>
        <v/>
      </c>
      <c r="W19" s="160">
        <v>2</v>
      </c>
      <c r="X19" s="161">
        <v>0</v>
      </c>
      <c r="Y19" s="77" t="str">
        <f t="shared" si="5"/>
        <v/>
      </c>
      <c r="Z19" s="162">
        <v>3</v>
      </c>
      <c r="AA19" s="163">
        <v>1</v>
      </c>
      <c r="AB19" s="68" t="str">
        <f t="shared" si="3"/>
        <v/>
      </c>
    </row>
    <row r="20" spans="1:28" s="3" customFormat="1" x14ac:dyDescent="0.3">
      <c r="A20" s="78">
        <f>IF(ISBLANK(#REF!),"",A19+1)</f>
        <v>18</v>
      </c>
      <c r="B20" s="79" t="s">
        <v>59</v>
      </c>
      <c r="C20" s="80">
        <v>4.1666666666666664E-2</v>
      </c>
      <c r="D20" s="81">
        <v>46190</v>
      </c>
      <c r="E20" s="82" t="s">
        <v>62</v>
      </c>
      <c r="F20" s="82" t="s">
        <v>63</v>
      </c>
      <c r="G20" s="176"/>
      <c r="H20" s="164"/>
      <c r="I20" s="165"/>
      <c r="J20" s="83"/>
      <c r="K20" s="86">
        <v>0</v>
      </c>
      <c r="L20" s="87">
        <v>2</v>
      </c>
      <c r="M20" s="88" t="str">
        <f t="shared" si="4"/>
        <v/>
      </c>
      <c r="N20" s="173">
        <v>0</v>
      </c>
      <c r="O20" s="174">
        <v>2</v>
      </c>
      <c r="P20" s="91" t="str">
        <f t="shared" si="0"/>
        <v/>
      </c>
      <c r="Q20" s="168">
        <v>0</v>
      </c>
      <c r="R20" s="169">
        <v>3</v>
      </c>
      <c r="S20" s="53" t="str">
        <f t="shared" si="1"/>
        <v/>
      </c>
      <c r="T20" s="164">
        <v>0</v>
      </c>
      <c r="U20" s="170">
        <v>3</v>
      </c>
      <c r="V20" s="96" t="str">
        <f t="shared" si="2"/>
        <v/>
      </c>
      <c r="W20" s="171">
        <v>0</v>
      </c>
      <c r="X20" s="172">
        <v>2</v>
      </c>
      <c r="Y20" s="52" t="str">
        <f t="shared" si="5"/>
        <v/>
      </c>
      <c r="Z20" s="173">
        <v>0</v>
      </c>
      <c r="AA20" s="174">
        <v>3</v>
      </c>
      <c r="AB20" s="51" t="str">
        <f t="shared" si="3"/>
        <v/>
      </c>
    </row>
    <row r="21" spans="1:28" s="3" customFormat="1" x14ac:dyDescent="0.3">
      <c r="A21" s="109">
        <f>IF(ISBLANK(#REF!),"",A20+1)</f>
        <v>19</v>
      </c>
      <c r="B21" s="110" t="s">
        <v>64</v>
      </c>
      <c r="C21" s="111">
        <v>0.16666666666666666</v>
      </c>
      <c r="D21" s="112">
        <f t="shared" ref="D21:D24" si="9">D20</f>
        <v>46190</v>
      </c>
      <c r="E21" s="113" t="s">
        <v>65</v>
      </c>
      <c r="F21" s="113" t="s">
        <v>66</v>
      </c>
      <c r="G21" s="177"/>
      <c r="H21" s="142"/>
      <c r="I21" s="143"/>
      <c r="J21" s="114"/>
      <c r="K21" s="117">
        <v>3</v>
      </c>
      <c r="L21" s="118">
        <v>2</v>
      </c>
      <c r="M21" s="119" t="str">
        <f t="shared" si="4"/>
        <v/>
      </c>
      <c r="N21" s="151">
        <v>4</v>
      </c>
      <c r="O21" s="152">
        <v>1</v>
      </c>
      <c r="P21" s="122" t="str">
        <f t="shared" si="0"/>
        <v/>
      </c>
      <c r="Q21" s="146">
        <v>3</v>
      </c>
      <c r="R21" s="147">
        <v>1</v>
      </c>
      <c r="S21" s="125" t="str">
        <f t="shared" si="1"/>
        <v/>
      </c>
      <c r="T21" s="142">
        <v>2</v>
      </c>
      <c r="U21" s="148">
        <v>0</v>
      </c>
      <c r="V21" s="128" t="str">
        <f t="shared" si="2"/>
        <v/>
      </c>
      <c r="W21" s="149">
        <v>2</v>
      </c>
      <c r="X21" s="150">
        <v>0</v>
      </c>
      <c r="Y21" s="131" t="str">
        <f t="shared" si="5"/>
        <v/>
      </c>
      <c r="Z21" s="151">
        <v>2</v>
      </c>
      <c r="AA21" s="152">
        <v>0</v>
      </c>
      <c r="AB21" s="134" t="str">
        <f t="shared" si="3"/>
        <v/>
      </c>
    </row>
    <row r="22" spans="1:28" s="3" customFormat="1" x14ac:dyDescent="0.3">
      <c r="A22" s="109">
        <f>IF(ISBLANK(#REF!),"",A21+1)</f>
        <v>20</v>
      </c>
      <c r="B22" s="110" t="s">
        <v>64</v>
      </c>
      <c r="C22" s="111">
        <v>0.29166666666666669</v>
      </c>
      <c r="D22" s="112">
        <f t="shared" si="9"/>
        <v>46190</v>
      </c>
      <c r="E22" s="113" t="s">
        <v>67</v>
      </c>
      <c r="F22" s="113" t="s">
        <v>68</v>
      </c>
      <c r="G22" s="177"/>
      <c r="H22" s="142"/>
      <c r="I22" s="143"/>
      <c r="J22" s="114"/>
      <c r="K22" s="117">
        <v>2</v>
      </c>
      <c r="L22" s="118">
        <v>1</v>
      </c>
      <c r="M22" s="119" t="str">
        <f t="shared" si="4"/>
        <v/>
      </c>
      <c r="N22" s="151">
        <v>1</v>
      </c>
      <c r="O22" s="152">
        <v>0</v>
      </c>
      <c r="P22" s="122" t="str">
        <f t="shared" si="0"/>
        <v/>
      </c>
      <c r="Q22" s="146">
        <v>3</v>
      </c>
      <c r="R22" s="147">
        <v>0</v>
      </c>
      <c r="S22" s="125" t="str">
        <f t="shared" si="1"/>
        <v/>
      </c>
      <c r="T22" s="142">
        <v>3</v>
      </c>
      <c r="U22" s="148">
        <v>0</v>
      </c>
      <c r="V22" s="128" t="str">
        <f t="shared" si="2"/>
        <v/>
      </c>
      <c r="W22" s="149">
        <v>3</v>
      </c>
      <c r="X22" s="150">
        <v>0</v>
      </c>
      <c r="Y22" s="131" t="str">
        <f t="shared" si="5"/>
        <v/>
      </c>
      <c r="Z22" s="151">
        <v>3</v>
      </c>
      <c r="AA22" s="152">
        <v>1</v>
      </c>
      <c r="AB22" s="134" t="str">
        <f t="shared" si="3"/>
        <v/>
      </c>
    </row>
    <row r="23" spans="1:28" s="3" customFormat="1" x14ac:dyDescent="0.3">
      <c r="A23" s="109">
        <f>IF(ISBLANK(#REF!),"",A22+1)</f>
        <v>21</v>
      </c>
      <c r="B23" s="110" t="s">
        <v>69</v>
      </c>
      <c r="C23" s="111">
        <v>0.83333333333333337</v>
      </c>
      <c r="D23" s="112">
        <f t="shared" si="9"/>
        <v>46190</v>
      </c>
      <c r="E23" s="113" t="s">
        <v>70</v>
      </c>
      <c r="F23" s="113" t="s">
        <v>71</v>
      </c>
      <c r="G23" s="177"/>
      <c r="H23" s="142"/>
      <c r="I23" s="143"/>
      <c r="J23" s="114"/>
      <c r="K23" s="117">
        <v>3</v>
      </c>
      <c r="L23" s="118">
        <v>0</v>
      </c>
      <c r="M23" s="119" t="str">
        <f t="shared" si="4"/>
        <v/>
      </c>
      <c r="N23" s="151">
        <v>4</v>
      </c>
      <c r="O23" s="152">
        <v>0</v>
      </c>
      <c r="P23" s="122" t="str">
        <f t="shared" si="0"/>
        <v/>
      </c>
      <c r="Q23" s="146">
        <v>4</v>
      </c>
      <c r="R23" s="147">
        <v>0</v>
      </c>
      <c r="S23" s="125" t="str">
        <f t="shared" si="1"/>
        <v/>
      </c>
      <c r="T23" s="142">
        <v>2</v>
      </c>
      <c r="U23" s="148">
        <v>0</v>
      </c>
      <c r="V23" s="128" t="str">
        <f t="shared" si="2"/>
        <v/>
      </c>
      <c r="W23" s="149">
        <v>2</v>
      </c>
      <c r="X23" s="150">
        <v>0</v>
      </c>
      <c r="Y23" s="131" t="str">
        <f t="shared" si="5"/>
        <v/>
      </c>
      <c r="Z23" s="151">
        <v>3</v>
      </c>
      <c r="AA23" s="152">
        <v>0</v>
      </c>
      <c r="AB23" s="134" t="str">
        <f t="shared" si="3"/>
        <v/>
      </c>
    </row>
    <row r="24" spans="1:28" s="3" customFormat="1" ht="19.5" thickBot="1" x14ac:dyDescent="0.35">
      <c r="A24" s="54">
        <f>IF(ISBLANK(#REF!),"",A23+1)</f>
        <v>22</v>
      </c>
      <c r="B24" s="55" t="s">
        <v>72</v>
      </c>
      <c r="C24" s="56">
        <v>0.95833333333333337</v>
      </c>
      <c r="D24" s="57">
        <f t="shared" si="9"/>
        <v>46190</v>
      </c>
      <c r="E24" s="59" t="s">
        <v>73</v>
      </c>
      <c r="F24" s="59" t="s">
        <v>74</v>
      </c>
      <c r="G24" s="175"/>
      <c r="H24" s="153"/>
      <c r="I24" s="154"/>
      <c r="J24" s="60"/>
      <c r="K24" s="63">
        <v>2</v>
      </c>
      <c r="L24" s="64">
        <v>1</v>
      </c>
      <c r="M24" s="65" t="str">
        <f t="shared" si="4"/>
        <v/>
      </c>
      <c r="N24" s="162">
        <v>2</v>
      </c>
      <c r="O24" s="163">
        <v>2</v>
      </c>
      <c r="P24" s="68" t="str">
        <f t="shared" si="0"/>
        <v/>
      </c>
      <c r="Q24" s="157">
        <v>3</v>
      </c>
      <c r="R24" s="158">
        <v>1</v>
      </c>
      <c r="S24" s="71" t="str">
        <f t="shared" si="1"/>
        <v/>
      </c>
      <c r="T24" s="153">
        <v>1</v>
      </c>
      <c r="U24" s="159">
        <v>1</v>
      </c>
      <c r="V24" s="74" t="str">
        <f t="shared" si="2"/>
        <v/>
      </c>
      <c r="W24" s="160">
        <v>1</v>
      </c>
      <c r="X24" s="161">
        <v>1</v>
      </c>
      <c r="Y24" s="77" t="str">
        <f t="shared" si="5"/>
        <v/>
      </c>
      <c r="Z24" s="162">
        <v>1</v>
      </c>
      <c r="AA24" s="163">
        <v>1</v>
      </c>
      <c r="AB24" s="68" t="str">
        <f>IF(ISBLANK(H24),"",(IF((Z24=K24)*AND(L24=AA24),3,(IF(K24-L24=Z24-AA24,2,(IF((K24&gt;L24)*AND(Z24&gt;AA24),1,IF((K24&lt;L24)*AND(Z24&lt;AA24),1,0))))))))</f>
        <v/>
      </c>
    </row>
    <row r="25" spans="1:28" s="3" customFormat="1" x14ac:dyDescent="0.3">
      <c r="A25" s="78">
        <f>IF(ISBLANK(#REF!),"",A24+1)</f>
        <v>23</v>
      </c>
      <c r="B25" s="79" t="s">
        <v>72</v>
      </c>
      <c r="C25" s="80">
        <v>8.3333333333333329E-2</v>
      </c>
      <c r="D25" s="81">
        <f>D22+1</f>
        <v>46191</v>
      </c>
      <c r="E25" s="82" t="s">
        <v>75</v>
      </c>
      <c r="F25" s="178" t="s">
        <v>76</v>
      </c>
      <c r="G25" s="176"/>
      <c r="H25" s="164"/>
      <c r="I25" s="165"/>
      <c r="J25" s="83"/>
      <c r="K25" s="86">
        <v>2</v>
      </c>
      <c r="L25" s="179">
        <v>2</v>
      </c>
      <c r="M25" s="88" t="str">
        <f t="shared" si="4"/>
        <v/>
      </c>
      <c r="N25" s="173">
        <v>2</v>
      </c>
      <c r="O25" s="180">
        <v>0</v>
      </c>
      <c r="P25" s="91" t="str">
        <f t="shared" si="0"/>
        <v/>
      </c>
      <c r="Q25" s="168">
        <v>2</v>
      </c>
      <c r="R25" s="181">
        <v>2</v>
      </c>
      <c r="S25" s="53" t="str">
        <f t="shared" si="1"/>
        <v/>
      </c>
      <c r="T25" s="164">
        <v>2</v>
      </c>
      <c r="U25" s="165">
        <v>1</v>
      </c>
      <c r="V25" s="96" t="str">
        <f t="shared" si="2"/>
        <v/>
      </c>
      <c r="W25" s="171">
        <v>2</v>
      </c>
      <c r="X25" s="182">
        <v>1</v>
      </c>
      <c r="Y25" s="52" t="str">
        <f t="shared" si="5"/>
        <v/>
      </c>
      <c r="Z25" s="173">
        <v>2</v>
      </c>
      <c r="AA25" s="180">
        <v>2</v>
      </c>
      <c r="AB25" s="51" t="str">
        <f t="shared" ref="AB25:AB74" si="10">IF(ISBLANK(H25),"",(IF((Z25=K25)*AND(L25=AA25),3,(IF(K25-L25=Z25-AA25,2,(IF((K25&gt;L25)*AND(Z25&gt;AA25),1,IF((K25&lt;L25)*AND(Z25&lt;AA25),1,0))))))))</f>
        <v/>
      </c>
    </row>
    <row r="26" spans="1:28" s="3" customFormat="1" x14ac:dyDescent="0.3">
      <c r="A26" s="109">
        <f>IF(ISBLANK(#REF!),"",A25+1)</f>
        <v>24</v>
      </c>
      <c r="B26" s="110" t="s">
        <v>69</v>
      </c>
      <c r="C26" s="111">
        <v>0.20833333333333334</v>
      </c>
      <c r="D26" s="112">
        <f>D23+1</f>
        <v>46191</v>
      </c>
      <c r="E26" s="113" t="s">
        <v>77</v>
      </c>
      <c r="F26" s="183" t="s">
        <v>78</v>
      </c>
      <c r="G26" s="177"/>
      <c r="H26" s="142"/>
      <c r="I26" s="143"/>
      <c r="J26" s="114"/>
      <c r="K26" s="117">
        <v>1</v>
      </c>
      <c r="L26" s="184">
        <v>3</v>
      </c>
      <c r="M26" s="119" t="str">
        <f t="shared" si="4"/>
        <v/>
      </c>
      <c r="N26" s="151">
        <v>1</v>
      </c>
      <c r="O26" s="185">
        <v>2</v>
      </c>
      <c r="P26" s="122" t="str">
        <f t="shared" si="0"/>
        <v/>
      </c>
      <c r="Q26" s="146">
        <v>0</v>
      </c>
      <c r="R26" s="186">
        <v>4</v>
      </c>
      <c r="S26" s="125" t="str">
        <f t="shared" si="1"/>
        <v/>
      </c>
      <c r="T26" s="142">
        <v>1</v>
      </c>
      <c r="U26" s="143">
        <v>2</v>
      </c>
      <c r="V26" s="128" t="str">
        <f t="shared" si="2"/>
        <v/>
      </c>
      <c r="W26" s="149">
        <v>0</v>
      </c>
      <c r="X26" s="187">
        <v>2</v>
      </c>
      <c r="Y26" s="131" t="str">
        <f t="shared" si="5"/>
        <v/>
      </c>
      <c r="Z26" s="151">
        <v>0</v>
      </c>
      <c r="AA26" s="185">
        <v>2</v>
      </c>
      <c r="AB26" s="134" t="str">
        <f t="shared" si="10"/>
        <v/>
      </c>
    </row>
    <row r="27" spans="1:28" s="3" customFormat="1" x14ac:dyDescent="0.3">
      <c r="A27" s="109">
        <f>IF(ISBLANK(#REF!),"",A26+1)</f>
        <v>25</v>
      </c>
      <c r="B27" s="110" t="s">
        <v>11</v>
      </c>
      <c r="C27" s="111" t="s">
        <v>79</v>
      </c>
      <c r="D27" s="112">
        <f>D24+1</f>
        <v>46191</v>
      </c>
      <c r="E27" s="113" t="s">
        <v>18</v>
      </c>
      <c r="F27" s="183" t="s">
        <v>14</v>
      </c>
      <c r="G27" s="177"/>
      <c r="H27" s="142"/>
      <c r="I27" s="143"/>
      <c r="J27" s="114"/>
      <c r="K27" s="117"/>
      <c r="L27" s="184"/>
      <c r="M27" s="119" t="str">
        <f t="shared" si="4"/>
        <v/>
      </c>
      <c r="N27" s="151"/>
      <c r="O27" s="185"/>
      <c r="P27" s="122" t="str">
        <f t="shared" si="0"/>
        <v/>
      </c>
      <c r="Q27" s="146"/>
      <c r="R27" s="186"/>
      <c r="S27" s="125" t="str">
        <f t="shared" si="1"/>
        <v/>
      </c>
      <c r="T27" s="142"/>
      <c r="U27" s="143"/>
      <c r="V27" s="128" t="str">
        <f t="shared" si="2"/>
        <v/>
      </c>
      <c r="W27" s="149"/>
      <c r="X27" s="187"/>
      <c r="Y27" s="131" t="str">
        <f t="shared" si="5"/>
        <v/>
      </c>
      <c r="Z27" s="151"/>
      <c r="AA27" s="185"/>
      <c r="AB27" s="134" t="str">
        <f t="shared" si="10"/>
        <v/>
      </c>
    </row>
    <row r="28" spans="1:28" s="3" customFormat="1" ht="19.5" thickBot="1" x14ac:dyDescent="0.35">
      <c r="A28" s="54">
        <f>IF(ISBLANK(#REF!),"",A27+1)</f>
        <v>26</v>
      </c>
      <c r="B28" s="55" t="s">
        <v>19</v>
      </c>
      <c r="C28" s="56" t="s">
        <v>12</v>
      </c>
      <c r="D28" s="57">
        <f t="shared" ref="D28" si="11">D27</f>
        <v>46191</v>
      </c>
      <c r="E28" s="59" t="s">
        <v>27</v>
      </c>
      <c r="F28" s="188" t="s">
        <v>21</v>
      </c>
      <c r="G28" s="175"/>
      <c r="H28" s="153"/>
      <c r="I28" s="154"/>
      <c r="J28" s="60"/>
      <c r="K28" s="63"/>
      <c r="L28" s="189"/>
      <c r="M28" s="65" t="str">
        <f t="shared" si="4"/>
        <v/>
      </c>
      <c r="N28" s="162"/>
      <c r="O28" s="190"/>
      <c r="P28" s="68" t="str">
        <f t="shared" si="0"/>
        <v/>
      </c>
      <c r="Q28" s="157"/>
      <c r="R28" s="191"/>
      <c r="S28" s="71" t="str">
        <f t="shared" si="1"/>
        <v/>
      </c>
      <c r="T28" s="153"/>
      <c r="U28" s="154"/>
      <c r="V28" s="74" t="str">
        <f t="shared" si="2"/>
        <v/>
      </c>
      <c r="W28" s="160"/>
      <c r="X28" s="192"/>
      <c r="Y28" s="77" t="str">
        <f t="shared" si="5"/>
        <v/>
      </c>
      <c r="Z28" s="162"/>
      <c r="AA28" s="190"/>
      <c r="AB28" s="68" t="str">
        <f t="shared" si="10"/>
        <v/>
      </c>
    </row>
    <row r="29" spans="1:28" s="3" customFormat="1" x14ac:dyDescent="0.3">
      <c r="A29" s="193">
        <f>IF(ISBLANK(#REF!),"",A28+1)</f>
        <v>27</v>
      </c>
      <c r="B29" s="29" t="s">
        <v>19</v>
      </c>
      <c r="C29" s="30">
        <v>4.1666666666666664E-2</v>
      </c>
      <c r="D29" s="31">
        <f>D28+1</f>
        <v>46192</v>
      </c>
      <c r="E29" s="32" t="s">
        <v>20</v>
      </c>
      <c r="F29" s="32" t="s">
        <v>26</v>
      </c>
      <c r="G29" s="194"/>
      <c r="H29" s="195"/>
      <c r="I29" s="196"/>
      <c r="J29" s="33"/>
      <c r="K29" s="36"/>
      <c r="L29" s="37"/>
      <c r="M29" s="38" t="str">
        <f t="shared" si="4"/>
        <v/>
      </c>
      <c r="N29" s="197"/>
      <c r="O29" s="198"/>
      <c r="P29" s="41" t="str">
        <f t="shared" si="0"/>
        <v/>
      </c>
      <c r="Q29" s="199"/>
      <c r="R29" s="200"/>
      <c r="S29" s="44" t="str">
        <f t="shared" si="1"/>
        <v/>
      </c>
      <c r="T29" s="195"/>
      <c r="U29" s="201"/>
      <c r="V29" s="47" t="str">
        <f t="shared" si="2"/>
        <v/>
      </c>
      <c r="W29" s="202"/>
      <c r="X29" s="203"/>
      <c r="Y29" s="50" t="str">
        <f t="shared" si="5"/>
        <v/>
      </c>
      <c r="Z29" s="197"/>
      <c r="AA29" s="198"/>
      <c r="AB29" s="204" t="str">
        <f t="shared" si="10"/>
        <v/>
      </c>
    </row>
    <row r="30" spans="1:28" s="3" customFormat="1" x14ac:dyDescent="0.3">
      <c r="A30" s="207">
        <f>IF(ISBLANK(#REF!),"",A29+1)</f>
        <v>28</v>
      </c>
      <c r="B30" s="110" t="s">
        <v>11</v>
      </c>
      <c r="C30" s="111">
        <v>0.16666666666666666</v>
      </c>
      <c r="D30" s="112">
        <f>D29</f>
        <v>46192</v>
      </c>
      <c r="E30" s="113" t="s">
        <v>13</v>
      </c>
      <c r="F30" s="113" t="s">
        <v>17</v>
      </c>
      <c r="G30" s="177"/>
      <c r="H30" s="142"/>
      <c r="I30" s="143"/>
      <c r="J30" s="114"/>
      <c r="K30" s="117"/>
      <c r="L30" s="118"/>
      <c r="M30" s="119" t="str">
        <f t="shared" si="4"/>
        <v/>
      </c>
      <c r="N30" s="151"/>
      <c r="O30" s="152"/>
      <c r="P30" s="122" t="str">
        <f t="shared" si="0"/>
        <v/>
      </c>
      <c r="Q30" s="146"/>
      <c r="R30" s="147"/>
      <c r="S30" s="125" t="str">
        <f t="shared" si="1"/>
        <v/>
      </c>
      <c r="T30" s="142"/>
      <c r="U30" s="148"/>
      <c r="V30" s="128" t="str">
        <f t="shared" si="2"/>
        <v/>
      </c>
      <c r="W30" s="149"/>
      <c r="X30" s="150"/>
      <c r="Y30" s="131" t="str">
        <f t="shared" si="5"/>
        <v/>
      </c>
      <c r="Z30" s="151"/>
      <c r="AA30" s="152"/>
      <c r="AB30" s="134" t="str">
        <f t="shared" si="10"/>
        <v/>
      </c>
    </row>
    <row r="31" spans="1:28" s="3" customFormat="1" ht="19.5" thickBot="1" x14ac:dyDescent="0.35">
      <c r="A31" s="54">
        <f>IF(ISBLANK(#REF!),"",A30+1)</f>
        <v>29</v>
      </c>
      <c r="B31" s="55" t="s">
        <v>22</v>
      </c>
      <c r="C31" s="56">
        <v>0.91666666666666663</v>
      </c>
      <c r="D31" s="57">
        <f t="shared" ref="D31" si="12">D30</f>
        <v>46192</v>
      </c>
      <c r="E31" s="59" t="s">
        <v>24</v>
      </c>
      <c r="F31" s="59" t="s">
        <v>35</v>
      </c>
      <c r="G31" s="175"/>
      <c r="H31" s="153"/>
      <c r="I31" s="154"/>
      <c r="J31" s="60"/>
      <c r="K31" s="63"/>
      <c r="L31" s="64"/>
      <c r="M31" s="65" t="str">
        <f t="shared" si="4"/>
        <v/>
      </c>
      <c r="N31" s="162"/>
      <c r="O31" s="163"/>
      <c r="P31" s="68" t="str">
        <f t="shared" si="0"/>
        <v/>
      </c>
      <c r="Q31" s="157"/>
      <c r="R31" s="158"/>
      <c r="S31" s="71" t="str">
        <f t="shared" si="1"/>
        <v/>
      </c>
      <c r="T31" s="153"/>
      <c r="U31" s="159"/>
      <c r="V31" s="74" t="str">
        <f t="shared" si="2"/>
        <v/>
      </c>
      <c r="W31" s="160"/>
      <c r="X31" s="161"/>
      <c r="Y31" s="77" t="str">
        <f t="shared" si="5"/>
        <v/>
      </c>
      <c r="Z31" s="162"/>
      <c r="AA31" s="163"/>
      <c r="AB31" s="68" t="str">
        <f t="shared" si="10"/>
        <v/>
      </c>
    </row>
    <row r="32" spans="1:28" s="3" customFormat="1" x14ac:dyDescent="0.3">
      <c r="A32" s="208">
        <f>IF(ISBLANK(#REF!),"",A31+1)</f>
        <v>30</v>
      </c>
      <c r="B32" s="79" t="s">
        <v>28</v>
      </c>
      <c r="C32" s="80">
        <v>4.1666666666666664E-2</v>
      </c>
      <c r="D32" s="81">
        <f>D31+1</f>
        <v>46193</v>
      </c>
      <c r="E32" s="209" t="s">
        <v>33</v>
      </c>
      <c r="F32" s="82" t="s">
        <v>31</v>
      </c>
      <c r="G32" s="176"/>
      <c r="H32" s="164"/>
      <c r="I32" s="165"/>
      <c r="J32" s="83"/>
      <c r="K32" s="86"/>
      <c r="L32" s="87"/>
      <c r="M32" s="88" t="str">
        <f t="shared" si="4"/>
        <v/>
      </c>
      <c r="N32" s="173"/>
      <c r="O32" s="174"/>
      <c r="P32" s="91" t="str">
        <f t="shared" si="0"/>
        <v/>
      </c>
      <c r="Q32" s="168"/>
      <c r="R32" s="169"/>
      <c r="S32" s="53" t="str">
        <f t="shared" si="1"/>
        <v/>
      </c>
      <c r="T32" s="164"/>
      <c r="U32" s="170"/>
      <c r="V32" s="96" t="str">
        <f t="shared" si="2"/>
        <v/>
      </c>
      <c r="W32" s="171"/>
      <c r="X32" s="172"/>
      <c r="Y32" s="52" t="str">
        <f t="shared" si="5"/>
        <v/>
      </c>
      <c r="Z32" s="173"/>
      <c r="AA32" s="174"/>
      <c r="AB32" s="51" t="str">
        <f t="shared" si="10"/>
        <v/>
      </c>
    </row>
    <row r="33" spans="1:28" s="3" customFormat="1" x14ac:dyDescent="0.3">
      <c r="A33" s="207">
        <f>IF(ISBLANK(#REF!),"",A32+1)</f>
        <v>31</v>
      </c>
      <c r="B33" s="110" t="s">
        <v>28</v>
      </c>
      <c r="C33" s="111">
        <v>0.16666666666666666</v>
      </c>
      <c r="D33" s="112">
        <v>46193</v>
      </c>
      <c r="E33" s="210" t="s">
        <v>30</v>
      </c>
      <c r="F33" s="113" t="s">
        <v>32</v>
      </c>
      <c r="G33" s="177"/>
      <c r="H33" s="142"/>
      <c r="I33" s="143"/>
      <c r="J33" s="114"/>
      <c r="K33" s="117"/>
      <c r="L33" s="118"/>
      <c r="M33" s="119" t="str">
        <f t="shared" si="4"/>
        <v/>
      </c>
      <c r="N33" s="151"/>
      <c r="O33" s="152"/>
      <c r="P33" s="122" t="str">
        <f t="shared" si="0"/>
        <v/>
      </c>
      <c r="Q33" s="146"/>
      <c r="R33" s="147"/>
      <c r="S33" s="125" t="str">
        <f t="shared" si="1"/>
        <v/>
      </c>
      <c r="T33" s="142"/>
      <c r="U33" s="148"/>
      <c r="V33" s="128" t="str">
        <f t="shared" si="2"/>
        <v/>
      </c>
      <c r="W33" s="149"/>
      <c r="X33" s="150"/>
      <c r="Y33" s="131" t="str">
        <f t="shared" si="5"/>
        <v/>
      </c>
      <c r="Z33" s="151"/>
      <c r="AA33" s="152"/>
      <c r="AB33" s="134" t="str">
        <f t="shared" si="10"/>
        <v/>
      </c>
    </row>
    <row r="34" spans="1:28" s="3" customFormat="1" x14ac:dyDescent="0.3">
      <c r="A34" s="207">
        <f>IF(ISBLANK(#REF!),"",A33+1)</f>
        <v>32</v>
      </c>
      <c r="B34" s="110" t="s">
        <v>22</v>
      </c>
      <c r="C34" s="111">
        <v>0.29166666666666669</v>
      </c>
      <c r="D34" s="112">
        <f>D33</f>
        <v>46193</v>
      </c>
      <c r="E34" s="210" t="s">
        <v>36</v>
      </c>
      <c r="F34" s="113" t="s">
        <v>25</v>
      </c>
      <c r="G34" s="177"/>
      <c r="H34" s="142"/>
      <c r="I34" s="143"/>
      <c r="J34" s="114"/>
      <c r="K34" s="117"/>
      <c r="L34" s="118"/>
      <c r="M34" s="119" t="str">
        <f t="shared" si="4"/>
        <v/>
      </c>
      <c r="N34" s="151"/>
      <c r="O34" s="152"/>
      <c r="P34" s="122" t="str">
        <f t="shared" si="0"/>
        <v/>
      </c>
      <c r="Q34" s="146"/>
      <c r="R34" s="147"/>
      <c r="S34" s="125" t="str">
        <f t="shared" si="1"/>
        <v/>
      </c>
      <c r="T34" s="142"/>
      <c r="U34" s="148"/>
      <c r="V34" s="128" t="str">
        <f t="shared" si="2"/>
        <v/>
      </c>
      <c r="W34" s="149"/>
      <c r="X34" s="150"/>
      <c r="Y34" s="131" t="str">
        <f t="shared" si="5"/>
        <v/>
      </c>
      <c r="Z34" s="151"/>
      <c r="AA34" s="152"/>
      <c r="AB34" s="134" t="str">
        <f t="shared" si="10"/>
        <v/>
      </c>
    </row>
    <row r="35" spans="1:28" s="3" customFormat="1" x14ac:dyDescent="0.3">
      <c r="A35" s="207">
        <f>IF(ISBLANK(#REF!),"",A34+1)</f>
        <v>33</v>
      </c>
      <c r="B35" s="110" t="s">
        <v>41</v>
      </c>
      <c r="C35" s="111">
        <v>0.83333333333333337</v>
      </c>
      <c r="D35" s="112">
        <f t="shared" ref="D35:D36" si="13">D34</f>
        <v>46193</v>
      </c>
      <c r="E35" s="210" t="s">
        <v>43</v>
      </c>
      <c r="F35" s="113" t="s">
        <v>47</v>
      </c>
      <c r="G35" s="177"/>
      <c r="H35" s="142"/>
      <c r="I35" s="143"/>
      <c r="J35" s="114"/>
      <c r="K35" s="117"/>
      <c r="L35" s="118"/>
      <c r="M35" s="119" t="str">
        <f t="shared" si="4"/>
        <v/>
      </c>
      <c r="N35" s="151"/>
      <c r="O35" s="152"/>
      <c r="P35" s="122" t="str">
        <f t="shared" si="0"/>
        <v/>
      </c>
      <c r="Q35" s="146"/>
      <c r="R35" s="147"/>
      <c r="S35" s="125" t="str">
        <f t="shared" si="1"/>
        <v/>
      </c>
      <c r="T35" s="142"/>
      <c r="U35" s="148"/>
      <c r="V35" s="128" t="str">
        <f t="shared" si="2"/>
        <v/>
      </c>
      <c r="W35" s="149"/>
      <c r="X35" s="150"/>
      <c r="Y35" s="131" t="str">
        <f t="shared" si="5"/>
        <v/>
      </c>
      <c r="Z35" s="151"/>
      <c r="AA35" s="152"/>
      <c r="AB35" s="134" t="str">
        <f t="shared" si="10"/>
        <v/>
      </c>
    </row>
    <row r="36" spans="1:28" s="3" customFormat="1" ht="19.5" thickBot="1" x14ac:dyDescent="0.35">
      <c r="A36" s="207">
        <f>IF(ISBLANK(#REF!),"",A35+1)</f>
        <v>34</v>
      </c>
      <c r="B36" s="55" t="s">
        <v>37</v>
      </c>
      <c r="C36" s="56">
        <v>0.95833333333333337</v>
      </c>
      <c r="D36" s="57">
        <f t="shared" si="13"/>
        <v>46193</v>
      </c>
      <c r="E36" s="211" t="s">
        <v>39</v>
      </c>
      <c r="F36" s="58" t="s">
        <v>45</v>
      </c>
      <c r="G36" s="175"/>
      <c r="H36" s="153"/>
      <c r="I36" s="154"/>
      <c r="J36" s="60"/>
      <c r="K36" s="63"/>
      <c r="L36" s="64"/>
      <c r="M36" s="65" t="str">
        <f t="shared" si="4"/>
        <v/>
      </c>
      <c r="N36" s="162"/>
      <c r="O36" s="163"/>
      <c r="P36" s="68" t="str">
        <f t="shared" si="0"/>
        <v/>
      </c>
      <c r="Q36" s="157"/>
      <c r="R36" s="158"/>
      <c r="S36" s="71" t="str">
        <f t="shared" si="1"/>
        <v/>
      </c>
      <c r="T36" s="153"/>
      <c r="U36" s="159"/>
      <c r="V36" s="74" t="str">
        <f t="shared" si="2"/>
        <v/>
      </c>
      <c r="W36" s="160"/>
      <c r="X36" s="161"/>
      <c r="Y36" s="77" t="str">
        <f t="shared" si="5"/>
        <v/>
      </c>
      <c r="Z36" s="162"/>
      <c r="AA36" s="163"/>
      <c r="AB36" s="68" t="str">
        <f t="shared" si="10"/>
        <v/>
      </c>
    </row>
    <row r="37" spans="1:28" s="3" customFormat="1" x14ac:dyDescent="0.3">
      <c r="A37" s="193">
        <f>IF(ISBLANK(#REF!),"",A36+1)</f>
        <v>35</v>
      </c>
      <c r="B37" s="212" t="s">
        <v>37</v>
      </c>
      <c r="C37" s="213">
        <v>0.125</v>
      </c>
      <c r="D37" s="214">
        <f>D36+1</f>
        <v>46194</v>
      </c>
      <c r="E37" s="215" t="s">
        <v>46</v>
      </c>
      <c r="F37" s="215" t="s">
        <v>40</v>
      </c>
      <c r="G37" s="216"/>
      <c r="H37" s="217"/>
      <c r="I37" s="196"/>
      <c r="J37" s="218"/>
      <c r="K37" s="219"/>
      <c r="L37" s="220"/>
      <c r="M37" s="221" t="str">
        <f t="shared" si="4"/>
        <v/>
      </c>
      <c r="N37" s="222"/>
      <c r="O37" s="223"/>
      <c r="P37" s="224" t="str">
        <f t="shared" si="0"/>
        <v/>
      </c>
      <c r="Q37" s="225"/>
      <c r="R37" s="206"/>
      <c r="S37" s="226" t="str">
        <f t="shared" si="1"/>
        <v/>
      </c>
      <c r="T37" s="217"/>
      <c r="U37" s="196"/>
      <c r="V37" s="227" t="str">
        <f t="shared" si="2"/>
        <v/>
      </c>
      <c r="W37" s="228"/>
      <c r="X37" s="205"/>
      <c r="Y37" s="229" t="str">
        <f t="shared" si="5"/>
        <v/>
      </c>
      <c r="Z37" s="222"/>
      <c r="AA37" s="223"/>
      <c r="AB37" s="230" t="str">
        <f t="shared" si="10"/>
        <v/>
      </c>
    </row>
    <row r="38" spans="1:28" s="3" customFormat="1" x14ac:dyDescent="0.3">
      <c r="A38" s="109">
        <f>IF(ISBLANK(#REF!),"",A37+1)</f>
        <v>36</v>
      </c>
      <c r="B38" s="231" t="s">
        <v>41</v>
      </c>
      <c r="C38" s="232">
        <v>0.29166666666666669</v>
      </c>
      <c r="D38" s="233">
        <f>D37</f>
        <v>46194</v>
      </c>
      <c r="E38" s="183" t="s">
        <v>48</v>
      </c>
      <c r="F38" s="183" t="s">
        <v>44</v>
      </c>
      <c r="G38" s="234"/>
      <c r="H38" s="235"/>
      <c r="I38" s="143"/>
      <c r="J38" s="236"/>
      <c r="K38" s="237"/>
      <c r="L38" s="184"/>
      <c r="M38" s="238" t="str">
        <f t="shared" si="4"/>
        <v/>
      </c>
      <c r="N38" s="239"/>
      <c r="O38" s="185"/>
      <c r="P38" s="240" t="str">
        <f t="shared" si="0"/>
        <v/>
      </c>
      <c r="Q38" s="241"/>
      <c r="R38" s="186"/>
      <c r="S38" s="242" t="str">
        <f t="shared" si="1"/>
        <v/>
      </c>
      <c r="T38" s="235"/>
      <c r="U38" s="143"/>
      <c r="V38" s="243" t="str">
        <f t="shared" si="2"/>
        <v/>
      </c>
      <c r="W38" s="244"/>
      <c r="X38" s="187"/>
      <c r="Y38" s="245" t="str">
        <f t="shared" si="5"/>
        <v/>
      </c>
      <c r="Z38" s="239"/>
      <c r="AA38" s="185"/>
      <c r="AB38" s="240" t="str">
        <f t="shared" si="10"/>
        <v/>
      </c>
    </row>
    <row r="39" spans="1:28" s="3" customFormat="1" x14ac:dyDescent="0.3">
      <c r="A39" s="207">
        <f>IF(ISBLANK(#REF!),"",A38+1)</f>
        <v>37</v>
      </c>
      <c r="B39" s="231" t="s">
        <v>49</v>
      </c>
      <c r="C39" s="232">
        <v>0.79166666666666663</v>
      </c>
      <c r="D39" s="233">
        <f t="shared" ref="D39:D40" si="14">D38</f>
        <v>46194</v>
      </c>
      <c r="E39" s="183" t="s">
        <v>50</v>
      </c>
      <c r="F39" s="183" t="s">
        <v>55</v>
      </c>
      <c r="G39" s="234"/>
      <c r="H39" s="235"/>
      <c r="I39" s="143"/>
      <c r="J39" s="236"/>
      <c r="K39" s="237"/>
      <c r="L39" s="184"/>
      <c r="M39" s="238" t="str">
        <f t="shared" si="4"/>
        <v/>
      </c>
      <c r="N39" s="239"/>
      <c r="O39" s="185"/>
      <c r="P39" s="240" t="str">
        <f t="shared" si="0"/>
        <v/>
      </c>
      <c r="Q39" s="241"/>
      <c r="R39" s="186"/>
      <c r="S39" s="242" t="str">
        <f t="shared" si="1"/>
        <v/>
      </c>
      <c r="T39" s="235"/>
      <c r="U39" s="143"/>
      <c r="V39" s="243" t="str">
        <f t="shared" si="2"/>
        <v/>
      </c>
      <c r="W39" s="244"/>
      <c r="X39" s="187"/>
      <c r="Y39" s="245" t="str">
        <f t="shared" si="5"/>
        <v/>
      </c>
      <c r="Z39" s="239"/>
      <c r="AA39" s="185"/>
      <c r="AB39" s="246" t="str">
        <f t="shared" si="10"/>
        <v/>
      </c>
    </row>
    <row r="40" spans="1:28" s="3" customFormat="1" ht="19.5" thickBot="1" x14ac:dyDescent="0.35">
      <c r="A40" s="54">
        <f>IF(ISBLANK(#REF!),"",A39+1)</f>
        <v>38</v>
      </c>
      <c r="B40" s="247" t="s">
        <v>52</v>
      </c>
      <c r="C40" s="248" t="s">
        <v>12</v>
      </c>
      <c r="D40" s="249">
        <f t="shared" si="14"/>
        <v>46194</v>
      </c>
      <c r="E40" s="188" t="s">
        <v>53</v>
      </c>
      <c r="F40" s="188" t="s">
        <v>57</v>
      </c>
      <c r="G40" s="250"/>
      <c r="H40" s="251"/>
      <c r="I40" s="154"/>
      <c r="J40" s="252"/>
      <c r="K40" s="253"/>
      <c r="L40" s="189"/>
      <c r="M40" s="254" t="str">
        <f t="shared" si="4"/>
        <v/>
      </c>
      <c r="N40" s="255"/>
      <c r="O40" s="190"/>
      <c r="P40" s="256" t="str">
        <f t="shared" si="0"/>
        <v/>
      </c>
      <c r="Q40" s="257"/>
      <c r="R40" s="191"/>
      <c r="S40" s="258" t="str">
        <f t="shared" si="1"/>
        <v/>
      </c>
      <c r="T40" s="251"/>
      <c r="U40" s="154"/>
      <c r="V40" s="259" t="str">
        <f t="shared" si="2"/>
        <v/>
      </c>
      <c r="W40" s="260"/>
      <c r="X40" s="192"/>
      <c r="Y40" s="261" t="str">
        <f t="shared" si="5"/>
        <v/>
      </c>
      <c r="Z40" s="255"/>
      <c r="AA40" s="190"/>
      <c r="AB40" s="256" t="str">
        <f t="shared" si="10"/>
        <v/>
      </c>
    </row>
    <row r="41" spans="1:28" s="3" customFormat="1" x14ac:dyDescent="0.3">
      <c r="A41" s="28">
        <f>IF(ISBLANK(#REF!),"",A40+1)</f>
        <v>39</v>
      </c>
      <c r="B41" s="29" t="s">
        <v>49</v>
      </c>
      <c r="C41" s="30">
        <v>4.1666666666666664E-2</v>
      </c>
      <c r="D41" s="31">
        <f>D40+1</f>
        <v>46195</v>
      </c>
      <c r="E41" s="32" t="s">
        <v>56</v>
      </c>
      <c r="F41" s="215" t="s">
        <v>51</v>
      </c>
      <c r="G41" s="194"/>
      <c r="H41" s="262"/>
      <c r="I41" s="263"/>
      <c r="J41" s="33"/>
      <c r="K41" s="36"/>
      <c r="L41" s="220"/>
      <c r="M41" s="38" t="str">
        <f t="shared" si="4"/>
        <v/>
      </c>
      <c r="N41" s="264"/>
      <c r="O41" s="265"/>
      <c r="P41" s="41" t="str">
        <f t="shared" si="0"/>
        <v/>
      </c>
      <c r="Q41" s="266"/>
      <c r="R41" s="267"/>
      <c r="S41" s="44" t="str">
        <f t="shared" si="1"/>
        <v/>
      </c>
      <c r="T41" s="262"/>
      <c r="U41" s="263"/>
      <c r="V41" s="47" t="str">
        <f t="shared" si="2"/>
        <v/>
      </c>
      <c r="W41" s="268"/>
      <c r="X41" s="269"/>
      <c r="Y41" s="50" t="str">
        <f t="shared" si="5"/>
        <v/>
      </c>
      <c r="Z41" s="264"/>
      <c r="AA41" s="265"/>
      <c r="AB41" s="41" t="str">
        <f t="shared" si="10"/>
        <v/>
      </c>
    </row>
    <row r="42" spans="1:28" s="3" customFormat="1" x14ac:dyDescent="0.3">
      <c r="A42" s="109">
        <f>IF(ISBLANK(#REF!),"",A41+1)</f>
        <v>40</v>
      </c>
      <c r="B42" s="110" t="s">
        <v>52</v>
      </c>
      <c r="C42" s="111">
        <v>0.16666666666666666</v>
      </c>
      <c r="D42" s="112">
        <f>D41</f>
        <v>46195</v>
      </c>
      <c r="E42" s="113" t="s">
        <v>58</v>
      </c>
      <c r="F42" s="183" t="s">
        <v>54</v>
      </c>
      <c r="G42" s="177"/>
      <c r="H42" s="135"/>
      <c r="I42" s="270"/>
      <c r="J42" s="114"/>
      <c r="K42" s="117"/>
      <c r="L42" s="184"/>
      <c r="M42" s="119" t="str">
        <f t="shared" si="4"/>
        <v/>
      </c>
      <c r="N42" s="132"/>
      <c r="O42" s="271"/>
      <c r="P42" s="122" t="str">
        <f t="shared" si="0"/>
        <v/>
      </c>
      <c r="Q42" s="123"/>
      <c r="R42" s="272"/>
      <c r="S42" s="125" t="str">
        <f t="shared" si="1"/>
        <v/>
      </c>
      <c r="T42" s="135"/>
      <c r="U42" s="270"/>
      <c r="V42" s="128" t="str">
        <f t="shared" si="2"/>
        <v/>
      </c>
      <c r="W42" s="129"/>
      <c r="X42" s="273"/>
      <c r="Y42" s="131" t="str">
        <f t="shared" si="5"/>
        <v/>
      </c>
      <c r="Z42" s="132"/>
      <c r="AA42" s="271"/>
      <c r="AB42" s="122" t="str">
        <f t="shared" si="10"/>
        <v/>
      </c>
    </row>
    <row r="43" spans="1:28" s="3" customFormat="1" x14ac:dyDescent="0.3">
      <c r="A43" s="109">
        <f>IF(ISBLANK(#REF!),"",A42+1)</f>
        <v>41</v>
      </c>
      <c r="B43" s="110" t="s">
        <v>64</v>
      </c>
      <c r="C43" s="111">
        <v>0.83333333333333337</v>
      </c>
      <c r="D43" s="112">
        <f t="shared" ref="D43" si="15">D42</f>
        <v>46195</v>
      </c>
      <c r="E43" s="113" t="s">
        <v>65</v>
      </c>
      <c r="F43" s="183" t="s">
        <v>67</v>
      </c>
      <c r="G43" s="177"/>
      <c r="H43" s="135"/>
      <c r="I43" s="270"/>
      <c r="J43" s="114"/>
      <c r="K43" s="117"/>
      <c r="L43" s="184"/>
      <c r="M43" s="119" t="str">
        <f t="shared" si="4"/>
        <v/>
      </c>
      <c r="N43" s="132"/>
      <c r="O43" s="271"/>
      <c r="P43" s="122" t="str">
        <f t="shared" si="0"/>
        <v/>
      </c>
      <c r="Q43" s="123"/>
      <c r="R43" s="272"/>
      <c r="S43" s="125" t="str">
        <f t="shared" si="1"/>
        <v/>
      </c>
      <c r="T43" s="135"/>
      <c r="U43" s="270"/>
      <c r="V43" s="128" t="str">
        <f t="shared" si="2"/>
        <v/>
      </c>
      <c r="W43" s="129"/>
      <c r="X43" s="273"/>
      <c r="Y43" s="131" t="str">
        <f t="shared" si="5"/>
        <v/>
      </c>
      <c r="Z43" s="132"/>
      <c r="AA43" s="271"/>
      <c r="AB43" s="122" t="str">
        <f t="shared" si="10"/>
        <v/>
      </c>
    </row>
    <row r="44" spans="1:28" s="3" customFormat="1" x14ac:dyDescent="0.3">
      <c r="A44" s="109">
        <f>IF(ISBLANK(#REF!),"",A43+1)</f>
        <v>42</v>
      </c>
      <c r="B44" s="110" t="s">
        <v>59</v>
      </c>
      <c r="C44" s="111">
        <v>0</v>
      </c>
      <c r="D44" s="112">
        <f>D43+1</f>
        <v>46196</v>
      </c>
      <c r="E44" s="274" t="s">
        <v>60</v>
      </c>
      <c r="F44" s="275" t="s">
        <v>62</v>
      </c>
      <c r="G44" s="177"/>
      <c r="H44" s="135"/>
      <c r="I44" s="270"/>
      <c r="J44" s="114"/>
      <c r="K44" s="117"/>
      <c r="L44" s="184"/>
      <c r="M44" s="119" t="str">
        <f t="shared" si="4"/>
        <v/>
      </c>
      <c r="N44" s="132"/>
      <c r="O44" s="271"/>
      <c r="P44" s="122" t="str">
        <f t="shared" si="0"/>
        <v/>
      </c>
      <c r="Q44" s="123"/>
      <c r="R44" s="272"/>
      <c r="S44" s="125" t="str">
        <f t="shared" si="1"/>
        <v/>
      </c>
      <c r="T44" s="135"/>
      <c r="U44" s="270"/>
      <c r="V44" s="128" t="str">
        <f t="shared" si="2"/>
        <v/>
      </c>
      <c r="W44" s="129"/>
      <c r="X44" s="273"/>
      <c r="Y44" s="131" t="str">
        <f t="shared" si="5"/>
        <v/>
      </c>
      <c r="Z44" s="132"/>
      <c r="AA44" s="271"/>
      <c r="AB44" s="122" t="str">
        <f t="shared" si="10"/>
        <v/>
      </c>
    </row>
    <row r="45" spans="1:28" s="3" customFormat="1" x14ac:dyDescent="0.3">
      <c r="A45" s="109">
        <f>IF(ISBLANK(#REF!),"",A44+1)</f>
        <v>43</v>
      </c>
      <c r="B45" s="110" t="s">
        <v>59</v>
      </c>
      <c r="C45" s="111">
        <v>0.125</v>
      </c>
      <c r="D45" s="112">
        <v>46196</v>
      </c>
      <c r="E45" s="113" t="s">
        <v>63</v>
      </c>
      <c r="F45" s="183" t="s">
        <v>61</v>
      </c>
      <c r="G45" s="177"/>
      <c r="H45" s="135"/>
      <c r="I45" s="270"/>
      <c r="J45" s="114"/>
      <c r="K45" s="117"/>
      <c r="L45" s="184"/>
      <c r="M45" s="119" t="str">
        <f t="shared" si="4"/>
        <v/>
      </c>
      <c r="N45" s="132"/>
      <c r="O45" s="271"/>
      <c r="P45" s="122" t="str">
        <f t="shared" si="0"/>
        <v/>
      </c>
      <c r="Q45" s="123"/>
      <c r="R45" s="272"/>
      <c r="S45" s="125" t="str">
        <f t="shared" si="1"/>
        <v/>
      </c>
      <c r="T45" s="135"/>
      <c r="U45" s="270"/>
      <c r="V45" s="128" t="str">
        <f t="shared" si="2"/>
        <v/>
      </c>
      <c r="W45" s="129"/>
      <c r="X45" s="273"/>
      <c r="Y45" s="131" t="str">
        <f t="shared" si="5"/>
        <v/>
      </c>
      <c r="Z45" s="132"/>
      <c r="AA45" s="271"/>
      <c r="AB45" s="122" t="str">
        <f t="shared" si="10"/>
        <v/>
      </c>
    </row>
    <row r="46" spans="1:28" s="3" customFormat="1" x14ac:dyDescent="0.3">
      <c r="A46" s="109">
        <f>IF(ISBLANK(#REF!),"",A45+1)</f>
        <v>44</v>
      </c>
      <c r="B46" s="110" t="s">
        <v>64</v>
      </c>
      <c r="C46" s="111">
        <v>0.25</v>
      </c>
      <c r="D46" s="112">
        <f>D45</f>
        <v>46196</v>
      </c>
      <c r="E46" s="113" t="s">
        <v>68</v>
      </c>
      <c r="F46" s="183" t="s">
        <v>66</v>
      </c>
      <c r="G46" s="177"/>
      <c r="H46" s="135"/>
      <c r="I46" s="270"/>
      <c r="J46" s="114"/>
      <c r="K46" s="117"/>
      <c r="L46" s="184"/>
      <c r="M46" s="119" t="str">
        <f t="shared" si="4"/>
        <v/>
      </c>
      <c r="N46" s="132"/>
      <c r="O46" s="271"/>
      <c r="P46" s="122" t="str">
        <f t="shared" si="0"/>
        <v/>
      </c>
      <c r="Q46" s="123"/>
      <c r="R46" s="272"/>
      <c r="S46" s="125" t="str">
        <f t="shared" si="1"/>
        <v/>
      </c>
      <c r="T46" s="135"/>
      <c r="U46" s="270"/>
      <c r="V46" s="128" t="str">
        <f t="shared" si="2"/>
        <v/>
      </c>
      <c r="W46" s="129"/>
      <c r="X46" s="273"/>
      <c r="Y46" s="131" t="str">
        <f t="shared" si="5"/>
        <v/>
      </c>
      <c r="Z46" s="132"/>
      <c r="AA46" s="271"/>
      <c r="AB46" s="122" t="str">
        <f t="shared" si="10"/>
        <v/>
      </c>
    </row>
    <row r="47" spans="1:28" s="3" customFormat="1" x14ac:dyDescent="0.3">
      <c r="A47" s="109">
        <f>IF(ISBLANK(#REF!),"",A46+1)</f>
        <v>45</v>
      </c>
      <c r="B47" s="110" t="s">
        <v>69</v>
      </c>
      <c r="C47" s="111">
        <v>0.83333333333333337</v>
      </c>
      <c r="D47" s="112">
        <f t="shared" ref="D47:D48" si="16">D46</f>
        <v>46196</v>
      </c>
      <c r="E47" s="113" t="s">
        <v>70</v>
      </c>
      <c r="F47" s="183" t="s">
        <v>77</v>
      </c>
      <c r="G47" s="177"/>
      <c r="H47" s="135"/>
      <c r="I47" s="270"/>
      <c r="J47" s="114"/>
      <c r="K47" s="117"/>
      <c r="L47" s="184"/>
      <c r="M47" s="119" t="str">
        <f t="shared" si="4"/>
        <v/>
      </c>
      <c r="N47" s="132"/>
      <c r="O47" s="271"/>
      <c r="P47" s="122" t="str">
        <f t="shared" si="0"/>
        <v/>
      </c>
      <c r="Q47" s="123"/>
      <c r="R47" s="272"/>
      <c r="S47" s="125" t="str">
        <f t="shared" si="1"/>
        <v/>
      </c>
      <c r="T47" s="135"/>
      <c r="U47" s="270"/>
      <c r="V47" s="128" t="str">
        <f t="shared" si="2"/>
        <v/>
      </c>
      <c r="W47" s="129"/>
      <c r="X47" s="273"/>
      <c r="Y47" s="131" t="str">
        <f t="shared" si="5"/>
        <v/>
      </c>
      <c r="Z47" s="132"/>
      <c r="AA47" s="271"/>
      <c r="AB47" s="122" t="str">
        <f t="shared" si="10"/>
        <v/>
      </c>
    </row>
    <row r="48" spans="1:28" s="3" customFormat="1" ht="19.5" thickBot="1" x14ac:dyDescent="0.35">
      <c r="A48" s="54">
        <f>IF(ISBLANK(#REF!),"",A47+1)</f>
        <v>46</v>
      </c>
      <c r="B48" s="55" t="s">
        <v>72</v>
      </c>
      <c r="C48" s="56">
        <v>0.95833333333333337</v>
      </c>
      <c r="D48" s="57">
        <f t="shared" si="16"/>
        <v>46196</v>
      </c>
      <c r="E48" s="59" t="s">
        <v>73</v>
      </c>
      <c r="F48" s="188" t="s">
        <v>75</v>
      </c>
      <c r="G48" s="175"/>
      <c r="H48" s="137"/>
      <c r="I48" s="276"/>
      <c r="J48" s="60"/>
      <c r="K48" s="63"/>
      <c r="L48" s="189"/>
      <c r="M48" s="65" t="str">
        <f t="shared" si="4"/>
        <v/>
      </c>
      <c r="N48" s="107"/>
      <c r="O48" s="277"/>
      <c r="P48" s="68" t="str">
        <f t="shared" si="0"/>
        <v/>
      </c>
      <c r="Q48" s="101"/>
      <c r="R48" s="278"/>
      <c r="S48" s="71" t="str">
        <f t="shared" si="1"/>
        <v/>
      </c>
      <c r="T48" s="137"/>
      <c r="U48" s="276"/>
      <c r="V48" s="74" t="str">
        <f t="shared" si="2"/>
        <v/>
      </c>
      <c r="W48" s="105"/>
      <c r="X48" s="279"/>
      <c r="Y48" s="77" t="str">
        <f t="shared" si="5"/>
        <v/>
      </c>
      <c r="Z48" s="107"/>
      <c r="AA48" s="277"/>
      <c r="AB48" s="68" t="str">
        <f t="shared" si="10"/>
        <v/>
      </c>
    </row>
    <row r="49" spans="1:28" s="3" customFormat="1" x14ac:dyDescent="0.3">
      <c r="A49" s="78">
        <f>IF(ISBLANK(#REF!),"",A48+1)</f>
        <v>47</v>
      </c>
      <c r="B49" s="79" t="s">
        <v>72</v>
      </c>
      <c r="C49" s="80">
        <v>8.3333333333333329E-2</v>
      </c>
      <c r="D49" s="81">
        <f>D48+1</f>
        <v>46197</v>
      </c>
      <c r="E49" s="82" t="s">
        <v>76</v>
      </c>
      <c r="F49" s="82" t="s">
        <v>74</v>
      </c>
      <c r="G49" s="176"/>
      <c r="H49" s="140"/>
      <c r="I49" s="280"/>
      <c r="J49" s="83"/>
      <c r="K49" s="86"/>
      <c r="L49" s="87"/>
      <c r="M49" s="281" t="str">
        <f t="shared" si="4"/>
        <v/>
      </c>
      <c r="N49" s="99"/>
      <c r="O49" s="100"/>
      <c r="P49" s="91" t="str">
        <f t="shared" si="0"/>
        <v/>
      </c>
      <c r="Q49" s="92"/>
      <c r="R49" s="93"/>
      <c r="S49" s="53" t="str">
        <f t="shared" si="1"/>
        <v/>
      </c>
      <c r="T49" s="140"/>
      <c r="U49" s="141"/>
      <c r="V49" s="96" t="str">
        <f t="shared" si="2"/>
        <v/>
      </c>
      <c r="W49" s="97"/>
      <c r="X49" s="98"/>
      <c r="Y49" s="52" t="str">
        <f t="shared" si="5"/>
        <v/>
      </c>
      <c r="Z49" s="99"/>
      <c r="AA49" s="100"/>
      <c r="AB49" s="51" t="str">
        <f t="shared" si="10"/>
        <v/>
      </c>
    </row>
    <row r="50" spans="1:28" s="3" customFormat="1" x14ac:dyDescent="0.3">
      <c r="A50" s="109">
        <f>IF(ISBLANK(#REF!),"",A49+1)</f>
        <v>48</v>
      </c>
      <c r="B50" s="110" t="s">
        <v>69</v>
      </c>
      <c r="C50" s="111">
        <v>0.20833333333333334</v>
      </c>
      <c r="D50" s="112">
        <f>D49</f>
        <v>46197</v>
      </c>
      <c r="E50" s="113" t="s">
        <v>78</v>
      </c>
      <c r="F50" s="113" t="s">
        <v>71</v>
      </c>
      <c r="G50" s="177"/>
      <c r="H50" s="135"/>
      <c r="I50" s="270"/>
      <c r="J50" s="114"/>
      <c r="K50" s="117"/>
      <c r="L50" s="118"/>
      <c r="M50" s="282" t="str">
        <f t="shared" si="4"/>
        <v/>
      </c>
      <c r="N50" s="132"/>
      <c r="O50" s="133"/>
      <c r="P50" s="122" t="str">
        <f t="shared" si="0"/>
        <v/>
      </c>
      <c r="Q50" s="123"/>
      <c r="R50" s="124"/>
      <c r="S50" s="125" t="str">
        <f t="shared" si="1"/>
        <v/>
      </c>
      <c r="T50" s="135"/>
      <c r="U50" s="136"/>
      <c r="V50" s="128" t="str">
        <f t="shared" si="2"/>
        <v/>
      </c>
      <c r="W50" s="129"/>
      <c r="X50" s="130"/>
      <c r="Y50" s="131" t="str">
        <f t="shared" si="5"/>
        <v/>
      </c>
      <c r="Z50" s="132"/>
      <c r="AA50" s="133"/>
      <c r="AB50" s="134" t="str">
        <f t="shared" si="10"/>
        <v/>
      </c>
    </row>
    <row r="51" spans="1:28" s="3" customFormat="1" x14ac:dyDescent="0.3">
      <c r="A51" s="109">
        <f>IF(ISBLANK(#REF!),"",A50+1)</f>
        <v>49</v>
      </c>
      <c r="B51" s="110" t="s">
        <v>19</v>
      </c>
      <c r="C51" s="111" t="s">
        <v>12</v>
      </c>
      <c r="D51" s="112">
        <f t="shared" ref="D51:D52" si="17">D50</f>
        <v>46197</v>
      </c>
      <c r="E51" s="113" t="s">
        <v>80</v>
      </c>
      <c r="F51" s="113" t="s">
        <v>27</v>
      </c>
      <c r="G51" s="177"/>
      <c r="H51" s="135"/>
      <c r="I51" s="270"/>
      <c r="J51" s="114"/>
      <c r="K51" s="117"/>
      <c r="L51" s="118"/>
      <c r="M51" s="282" t="str">
        <f t="shared" si="4"/>
        <v/>
      </c>
      <c r="N51" s="132"/>
      <c r="O51" s="133"/>
      <c r="P51" s="122" t="str">
        <f t="shared" si="0"/>
        <v/>
      </c>
      <c r="Q51" s="123"/>
      <c r="R51" s="124"/>
      <c r="S51" s="125" t="str">
        <f t="shared" si="1"/>
        <v/>
      </c>
      <c r="T51" s="135"/>
      <c r="U51" s="136"/>
      <c r="V51" s="128" t="str">
        <f t="shared" si="2"/>
        <v/>
      </c>
      <c r="W51" s="129"/>
      <c r="X51" s="130"/>
      <c r="Y51" s="131" t="str">
        <f t="shared" si="5"/>
        <v/>
      </c>
      <c r="Z51" s="132"/>
      <c r="AA51" s="133"/>
      <c r="AB51" s="134" t="str">
        <f t="shared" si="10"/>
        <v/>
      </c>
    </row>
    <row r="52" spans="1:28" s="3" customFormat="1" ht="19.5" thickBot="1" x14ac:dyDescent="0.35">
      <c r="A52" s="54">
        <f>IF(ISBLANK(#REF!),"",A51+1)</f>
        <v>50</v>
      </c>
      <c r="B52" s="55" t="s">
        <v>19</v>
      </c>
      <c r="C52" s="56" t="s">
        <v>12</v>
      </c>
      <c r="D52" s="57">
        <f t="shared" si="17"/>
        <v>46197</v>
      </c>
      <c r="E52" s="59" t="s">
        <v>21</v>
      </c>
      <c r="F52" s="59" t="s">
        <v>26</v>
      </c>
      <c r="G52" s="283"/>
      <c r="H52" s="137"/>
      <c r="I52" s="276"/>
      <c r="J52" s="60"/>
      <c r="K52" s="63"/>
      <c r="L52" s="64"/>
      <c r="M52" s="65" t="str">
        <f t="shared" si="4"/>
        <v/>
      </c>
      <c r="N52" s="107"/>
      <c r="O52" s="108"/>
      <c r="P52" s="68" t="str">
        <f t="shared" si="0"/>
        <v/>
      </c>
      <c r="Q52" s="101"/>
      <c r="R52" s="102"/>
      <c r="S52" s="71" t="str">
        <f t="shared" si="1"/>
        <v/>
      </c>
      <c r="T52" s="137"/>
      <c r="U52" s="138"/>
      <c r="V52" s="74" t="str">
        <f t="shared" si="2"/>
        <v/>
      </c>
      <c r="W52" s="105"/>
      <c r="X52" s="106"/>
      <c r="Y52" s="77" t="str">
        <f t="shared" si="5"/>
        <v/>
      </c>
      <c r="Z52" s="107"/>
      <c r="AA52" s="108"/>
      <c r="AB52" s="68" t="str">
        <f t="shared" si="10"/>
        <v/>
      </c>
    </row>
    <row r="53" spans="1:28" s="3" customFormat="1" x14ac:dyDescent="0.3">
      <c r="A53" s="193">
        <f>IF(ISBLANK(#REF!),"",A52+1)</f>
        <v>51</v>
      </c>
      <c r="B53" s="29" t="s">
        <v>28</v>
      </c>
      <c r="C53" s="30">
        <v>4.1666666666666664E-2</v>
      </c>
      <c r="D53" s="31">
        <v>46198</v>
      </c>
      <c r="E53" s="284" t="s">
        <v>31</v>
      </c>
      <c r="F53" s="285" t="s">
        <v>32</v>
      </c>
      <c r="G53" s="286"/>
      <c r="H53" s="262"/>
      <c r="I53" s="263"/>
      <c r="J53" s="33"/>
      <c r="K53" s="36"/>
      <c r="L53" s="37"/>
      <c r="M53" s="38"/>
      <c r="N53" s="264"/>
      <c r="O53" s="287"/>
      <c r="P53" s="41" t="str">
        <f t="shared" si="0"/>
        <v/>
      </c>
      <c r="Q53" s="266"/>
      <c r="R53" s="288"/>
      <c r="S53" s="44" t="str">
        <f t="shared" si="1"/>
        <v/>
      </c>
      <c r="T53" s="262"/>
      <c r="U53" s="289"/>
      <c r="V53" s="47" t="str">
        <f t="shared" si="2"/>
        <v/>
      </c>
      <c r="W53" s="268"/>
      <c r="X53" s="290"/>
      <c r="Y53" s="50" t="str">
        <f t="shared" si="5"/>
        <v/>
      </c>
      <c r="Z53" s="264"/>
      <c r="AA53" s="287"/>
      <c r="AB53" s="204" t="str">
        <f t="shared" si="10"/>
        <v/>
      </c>
    </row>
    <row r="54" spans="1:28" s="3" customFormat="1" x14ac:dyDescent="0.3">
      <c r="A54" s="207">
        <f>IF(ISBLANK(#REF!),"",A53+1)</f>
        <v>52</v>
      </c>
      <c r="B54" s="110" t="s">
        <v>28</v>
      </c>
      <c r="C54" s="111">
        <v>4.1666666666666664E-2</v>
      </c>
      <c r="D54" s="112">
        <v>46198</v>
      </c>
      <c r="E54" s="291" t="s">
        <v>33</v>
      </c>
      <c r="F54" s="292" t="s">
        <v>30</v>
      </c>
      <c r="G54" s="293"/>
      <c r="H54" s="135"/>
      <c r="I54" s="270"/>
      <c r="J54" s="114"/>
      <c r="K54" s="117"/>
      <c r="L54" s="118"/>
      <c r="M54" s="119"/>
      <c r="N54" s="132"/>
      <c r="O54" s="133"/>
      <c r="P54" s="122" t="str">
        <f t="shared" si="0"/>
        <v/>
      </c>
      <c r="Q54" s="123"/>
      <c r="R54" s="124"/>
      <c r="S54" s="125" t="str">
        <f t="shared" si="1"/>
        <v/>
      </c>
      <c r="T54" s="135"/>
      <c r="U54" s="136"/>
      <c r="V54" s="128" t="str">
        <f t="shared" si="2"/>
        <v/>
      </c>
      <c r="W54" s="129"/>
      <c r="X54" s="130"/>
      <c r="Y54" s="131" t="str">
        <f t="shared" si="5"/>
        <v/>
      </c>
      <c r="Z54" s="132"/>
      <c r="AA54" s="133"/>
      <c r="AB54" s="134" t="str">
        <f t="shared" si="10"/>
        <v/>
      </c>
    </row>
    <row r="55" spans="1:28" s="3" customFormat="1" x14ac:dyDescent="0.3">
      <c r="A55" s="207">
        <f>IF(ISBLANK(#REF!),"",A54+1)</f>
        <v>53</v>
      </c>
      <c r="B55" s="110" t="s">
        <v>11</v>
      </c>
      <c r="C55" s="111">
        <v>0.16666666666666666</v>
      </c>
      <c r="D55" s="112">
        <v>46198</v>
      </c>
      <c r="E55" s="291" t="s">
        <v>13</v>
      </c>
      <c r="F55" s="292" t="s">
        <v>18</v>
      </c>
      <c r="G55" s="293"/>
      <c r="H55" s="135"/>
      <c r="I55" s="270"/>
      <c r="J55" s="114"/>
      <c r="K55" s="117"/>
      <c r="L55" s="118"/>
      <c r="M55" s="119"/>
      <c r="N55" s="132"/>
      <c r="O55" s="133"/>
      <c r="P55" s="122" t="str">
        <f t="shared" si="0"/>
        <v/>
      </c>
      <c r="Q55" s="123"/>
      <c r="R55" s="124"/>
      <c r="S55" s="125" t="str">
        <f t="shared" si="1"/>
        <v/>
      </c>
      <c r="T55" s="135"/>
      <c r="U55" s="136"/>
      <c r="V55" s="128" t="str">
        <f t="shared" si="2"/>
        <v/>
      </c>
      <c r="W55" s="129"/>
      <c r="X55" s="130"/>
      <c r="Y55" s="131" t="str">
        <f t="shared" si="5"/>
        <v/>
      </c>
      <c r="Z55" s="132"/>
      <c r="AA55" s="133"/>
      <c r="AB55" s="134" t="str">
        <f t="shared" si="10"/>
        <v/>
      </c>
    </row>
    <row r="56" spans="1:28" s="3" customFormat="1" x14ac:dyDescent="0.3">
      <c r="A56" s="207">
        <f>IF(ISBLANK(#REF!),"",A55+1)</f>
        <v>54</v>
      </c>
      <c r="B56" s="110" t="s">
        <v>11</v>
      </c>
      <c r="C56" s="111">
        <v>0.16666666666666666</v>
      </c>
      <c r="D56" s="112">
        <v>46198</v>
      </c>
      <c r="E56" s="291" t="s">
        <v>14</v>
      </c>
      <c r="F56" s="292" t="s">
        <v>17</v>
      </c>
      <c r="G56" s="293"/>
      <c r="H56" s="135"/>
      <c r="I56" s="270"/>
      <c r="J56" s="114"/>
      <c r="K56" s="117"/>
      <c r="L56" s="118"/>
      <c r="M56" s="119"/>
      <c r="N56" s="132"/>
      <c r="O56" s="133"/>
      <c r="P56" s="122" t="str">
        <f t="shared" si="0"/>
        <v/>
      </c>
      <c r="Q56" s="123"/>
      <c r="R56" s="124"/>
      <c r="S56" s="125" t="str">
        <f t="shared" si="1"/>
        <v/>
      </c>
      <c r="T56" s="135"/>
      <c r="U56" s="136"/>
      <c r="V56" s="128" t="str">
        <f t="shared" si="2"/>
        <v/>
      </c>
      <c r="W56" s="129"/>
      <c r="X56" s="130"/>
      <c r="Y56" s="131" t="str">
        <f t="shared" si="5"/>
        <v/>
      </c>
      <c r="Z56" s="132"/>
      <c r="AA56" s="133"/>
      <c r="AB56" s="134" t="str">
        <f t="shared" si="10"/>
        <v/>
      </c>
    </row>
    <row r="57" spans="1:28" s="3" customFormat="1" x14ac:dyDescent="0.3">
      <c r="A57" s="207">
        <f>IF(ISBLANK(#REF!),"",A56+1)</f>
        <v>55</v>
      </c>
      <c r="B57" s="110" t="s">
        <v>37</v>
      </c>
      <c r="C57" s="111">
        <v>0.95833333333333337</v>
      </c>
      <c r="D57" s="112">
        <v>46198</v>
      </c>
      <c r="E57" s="291" t="s">
        <v>46</v>
      </c>
      <c r="F57" s="292" t="s">
        <v>39</v>
      </c>
      <c r="G57" s="293"/>
      <c r="H57" s="135"/>
      <c r="I57" s="270"/>
      <c r="J57" s="114"/>
      <c r="K57" s="117"/>
      <c r="L57" s="118"/>
      <c r="M57" s="119"/>
      <c r="N57" s="132"/>
      <c r="O57" s="133"/>
      <c r="P57" s="122" t="str">
        <f t="shared" si="0"/>
        <v/>
      </c>
      <c r="Q57" s="123"/>
      <c r="R57" s="124"/>
      <c r="S57" s="125" t="str">
        <f t="shared" si="1"/>
        <v/>
      </c>
      <c r="T57" s="135"/>
      <c r="U57" s="136"/>
      <c r="V57" s="128" t="str">
        <f t="shared" si="2"/>
        <v/>
      </c>
      <c r="W57" s="129"/>
      <c r="X57" s="130"/>
      <c r="Y57" s="131" t="str">
        <f t="shared" si="5"/>
        <v/>
      </c>
      <c r="Z57" s="132"/>
      <c r="AA57" s="133"/>
      <c r="AB57" s="134" t="str">
        <f t="shared" si="10"/>
        <v/>
      </c>
    </row>
    <row r="58" spans="1:28" s="3" customFormat="1" ht="19.5" thickBot="1" x14ac:dyDescent="0.35">
      <c r="A58" s="54">
        <f>IF(ISBLANK(#REF!),"",A57+1)</f>
        <v>56</v>
      </c>
      <c r="B58" s="55" t="s">
        <v>37</v>
      </c>
      <c r="C58" s="56">
        <v>0.95833333333333337</v>
      </c>
      <c r="D58" s="57">
        <v>46198</v>
      </c>
      <c r="E58" s="294" t="s">
        <v>40</v>
      </c>
      <c r="F58" s="295" t="s">
        <v>45</v>
      </c>
      <c r="G58" s="283"/>
      <c r="H58" s="137"/>
      <c r="I58" s="276"/>
      <c r="J58" s="60"/>
      <c r="K58" s="63"/>
      <c r="L58" s="64"/>
      <c r="M58" s="65"/>
      <c r="N58" s="107"/>
      <c r="O58" s="108"/>
      <c r="P58" s="68" t="str">
        <f t="shared" si="0"/>
        <v/>
      </c>
      <c r="Q58" s="101"/>
      <c r="R58" s="102"/>
      <c r="S58" s="71" t="str">
        <f t="shared" si="1"/>
        <v/>
      </c>
      <c r="T58" s="137"/>
      <c r="U58" s="138"/>
      <c r="V58" s="74" t="str">
        <f t="shared" si="2"/>
        <v/>
      </c>
      <c r="W58" s="105"/>
      <c r="X58" s="106"/>
      <c r="Y58" s="77" t="str">
        <f t="shared" si="5"/>
        <v/>
      </c>
      <c r="Z58" s="107"/>
      <c r="AA58" s="108"/>
      <c r="AB58" s="68" t="str">
        <f t="shared" si="10"/>
        <v/>
      </c>
    </row>
    <row r="59" spans="1:28" s="3" customFormat="1" ht="19.5" thickBot="1" x14ac:dyDescent="0.35">
      <c r="A59" s="193">
        <f>IF(ISBLANK(#REF!),"",A58+1)</f>
        <v>57</v>
      </c>
      <c r="B59" s="29" t="s">
        <v>41</v>
      </c>
      <c r="C59" s="30">
        <v>8.3333333333333329E-2</v>
      </c>
      <c r="D59" s="31">
        <v>46199</v>
      </c>
      <c r="E59" s="284" t="s">
        <v>48</v>
      </c>
      <c r="F59" s="285" t="s">
        <v>43</v>
      </c>
      <c r="G59" s="286"/>
      <c r="H59" s="262"/>
      <c r="I59" s="263"/>
      <c r="J59" s="33"/>
      <c r="K59" s="36"/>
      <c r="L59" s="37"/>
      <c r="M59" s="38"/>
      <c r="N59" s="264"/>
      <c r="O59" s="287"/>
      <c r="P59" s="41" t="str">
        <f t="shared" si="0"/>
        <v/>
      </c>
      <c r="Q59" s="266"/>
      <c r="R59" s="288"/>
      <c r="S59" s="44" t="str">
        <f t="shared" si="1"/>
        <v/>
      </c>
      <c r="T59" s="262"/>
      <c r="U59" s="289"/>
      <c r="V59" s="47" t="str">
        <f t="shared" si="2"/>
        <v/>
      </c>
      <c r="W59" s="268"/>
      <c r="X59" s="290"/>
      <c r="Y59" s="50" t="str">
        <f t="shared" si="5"/>
        <v/>
      </c>
      <c r="Z59" s="264"/>
      <c r="AA59" s="287"/>
      <c r="AB59" s="51" t="str">
        <f t="shared" si="10"/>
        <v/>
      </c>
    </row>
    <row r="60" spans="1:28" s="3" customFormat="1" ht="19.5" thickBot="1" x14ac:dyDescent="0.35">
      <c r="A60" s="207">
        <f>IF(ISBLANK(#REF!),"",A59+1)</f>
        <v>58</v>
      </c>
      <c r="B60" s="110" t="s">
        <v>41</v>
      </c>
      <c r="C60" s="111">
        <v>8.3333333333333329E-2</v>
      </c>
      <c r="D60" s="112">
        <v>46199</v>
      </c>
      <c r="E60" s="296" t="s">
        <v>44</v>
      </c>
      <c r="F60" s="297" t="s">
        <v>47</v>
      </c>
      <c r="G60" s="286"/>
      <c r="H60" s="135"/>
      <c r="I60" s="270"/>
      <c r="J60" s="33"/>
      <c r="K60" s="117"/>
      <c r="L60" s="118"/>
      <c r="M60" s="119"/>
      <c r="N60" s="132"/>
      <c r="O60" s="133"/>
      <c r="P60" s="122" t="str">
        <f t="shared" si="0"/>
        <v/>
      </c>
      <c r="Q60" s="123"/>
      <c r="R60" s="124"/>
      <c r="S60" s="125" t="str">
        <f t="shared" si="1"/>
        <v/>
      </c>
      <c r="T60" s="135"/>
      <c r="U60" s="136"/>
      <c r="V60" s="128" t="str">
        <f t="shared" si="2"/>
        <v/>
      </c>
      <c r="W60" s="129"/>
      <c r="X60" s="130"/>
      <c r="Y60" s="131" t="str">
        <f t="shared" si="5"/>
        <v/>
      </c>
      <c r="Z60" s="132"/>
      <c r="AA60" s="133"/>
      <c r="AB60" s="134" t="str">
        <f t="shared" si="10"/>
        <v/>
      </c>
    </row>
    <row r="61" spans="1:28" s="3" customFormat="1" ht="19.5" thickBot="1" x14ac:dyDescent="0.35">
      <c r="A61" s="207">
        <f>IF(ISBLANK(#REF!),"",A60+1)</f>
        <v>59</v>
      </c>
      <c r="B61" s="110" t="s">
        <v>22</v>
      </c>
      <c r="C61" s="111">
        <v>0.20833333333333334</v>
      </c>
      <c r="D61" s="112">
        <v>46199</v>
      </c>
      <c r="E61" s="296" t="s">
        <v>24</v>
      </c>
      <c r="F61" s="297" t="s">
        <v>36</v>
      </c>
      <c r="G61" s="286"/>
      <c r="H61" s="135"/>
      <c r="I61" s="270"/>
      <c r="J61" s="33"/>
      <c r="K61" s="117"/>
      <c r="L61" s="118"/>
      <c r="M61" s="119"/>
      <c r="N61" s="132"/>
      <c r="O61" s="133"/>
      <c r="P61" s="122" t="str">
        <f t="shared" si="0"/>
        <v/>
      </c>
      <c r="Q61" s="123"/>
      <c r="R61" s="124"/>
      <c r="S61" s="125" t="str">
        <f t="shared" si="1"/>
        <v/>
      </c>
      <c r="T61" s="135"/>
      <c r="U61" s="136"/>
      <c r="V61" s="128" t="str">
        <f t="shared" si="2"/>
        <v/>
      </c>
      <c r="W61" s="129"/>
      <c r="X61" s="130"/>
      <c r="Y61" s="131" t="str">
        <f t="shared" si="5"/>
        <v/>
      </c>
      <c r="Z61" s="132"/>
      <c r="AA61" s="133"/>
      <c r="AB61" s="134" t="str">
        <f t="shared" si="10"/>
        <v/>
      </c>
    </row>
    <row r="62" spans="1:28" s="3" customFormat="1" ht="19.5" thickBot="1" x14ac:dyDescent="0.35">
      <c r="A62" s="207">
        <f>IF(ISBLANK(#REF!),"",A61+1)</f>
        <v>60</v>
      </c>
      <c r="B62" s="110" t="s">
        <v>22</v>
      </c>
      <c r="C62" s="111">
        <v>0.20833333333333334</v>
      </c>
      <c r="D62" s="112">
        <v>46199</v>
      </c>
      <c r="E62" s="296" t="s">
        <v>25</v>
      </c>
      <c r="F62" s="297" t="s">
        <v>35</v>
      </c>
      <c r="G62" s="286"/>
      <c r="H62" s="135"/>
      <c r="I62" s="270"/>
      <c r="J62" s="33"/>
      <c r="K62" s="117"/>
      <c r="L62" s="118"/>
      <c r="M62" s="119"/>
      <c r="N62" s="132"/>
      <c r="O62" s="133"/>
      <c r="P62" s="122" t="str">
        <f t="shared" si="0"/>
        <v/>
      </c>
      <c r="Q62" s="123"/>
      <c r="R62" s="124"/>
      <c r="S62" s="125" t="str">
        <f t="shared" si="1"/>
        <v/>
      </c>
      <c r="T62" s="135"/>
      <c r="U62" s="136"/>
      <c r="V62" s="128" t="str">
        <f t="shared" si="2"/>
        <v/>
      </c>
      <c r="W62" s="129"/>
      <c r="X62" s="130"/>
      <c r="Y62" s="131" t="str">
        <f t="shared" si="5"/>
        <v/>
      </c>
      <c r="Z62" s="132"/>
      <c r="AA62" s="133"/>
      <c r="AB62" s="134" t="str">
        <f t="shared" si="10"/>
        <v/>
      </c>
    </row>
    <row r="63" spans="1:28" s="3" customFormat="1" ht="19.5" thickBot="1" x14ac:dyDescent="0.35">
      <c r="A63" s="207">
        <f>IF(ISBLANK(#REF!),"",A62+1)</f>
        <v>61</v>
      </c>
      <c r="B63" s="110" t="s">
        <v>59</v>
      </c>
      <c r="C63" s="111">
        <v>0.91666666666666663</v>
      </c>
      <c r="D63" s="112">
        <v>46199</v>
      </c>
      <c r="E63" s="296" t="s">
        <v>63</v>
      </c>
      <c r="F63" s="297" t="s">
        <v>60</v>
      </c>
      <c r="G63" s="286"/>
      <c r="H63" s="135"/>
      <c r="I63" s="270"/>
      <c r="J63" s="33"/>
      <c r="K63" s="117"/>
      <c r="L63" s="118"/>
      <c r="M63" s="119"/>
      <c r="N63" s="132"/>
      <c r="O63" s="133"/>
      <c r="P63" s="122" t="str">
        <f t="shared" si="0"/>
        <v/>
      </c>
      <c r="Q63" s="123"/>
      <c r="R63" s="124"/>
      <c r="S63" s="125" t="str">
        <f t="shared" si="1"/>
        <v/>
      </c>
      <c r="T63" s="135"/>
      <c r="U63" s="136"/>
      <c r="V63" s="128" t="str">
        <f t="shared" si="2"/>
        <v/>
      </c>
      <c r="W63" s="129"/>
      <c r="X63" s="130"/>
      <c r="Y63" s="131" t="str">
        <f t="shared" si="5"/>
        <v/>
      </c>
      <c r="Z63" s="132"/>
      <c r="AA63" s="133"/>
      <c r="AB63" s="134" t="str">
        <f t="shared" si="10"/>
        <v/>
      </c>
    </row>
    <row r="64" spans="1:28" s="3" customFormat="1" ht="19.5" thickBot="1" x14ac:dyDescent="0.35">
      <c r="A64" s="207">
        <f>IF(ISBLANK(#REF!),"",A63+1)</f>
        <v>62</v>
      </c>
      <c r="B64" s="298" t="s">
        <v>59</v>
      </c>
      <c r="C64" s="299">
        <v>0.91666666666666663</v>
      </c>
      <c r="D64" s="300">
        <v>46199</v>
      </c>
      <c r="E64" s="301" t="s">
        <v>61</v>
      </c>
      <c r="F64" s="302" t="s">
        <v>62</v>
      </c>
      <c r="G64" s="303"/>
      <c r="H64" s="304"/>
      <c r="I64" s="305"/>
      <c r="J64" s="306"/>
      <c r="K64" s="307"/>
      <c r="L64" s="308"/>
      <c r="M64" s="282"/>
      <c r="N64" s="309"/>
      <c r="O64" s="310"/>
      <c r="P64" s="134" t="str">
        <f t="shared" si="0"/>
        <v/>
      </c>
      <c r="Q64" s="311"/>
      <c r="R64" s="312"/>
      <c r="S64" s="313" t="str">
        <f t="shared" si="1"/>
        <v/>
      </c>
      <c r="T64" s="304"/>
      <c r="U64" s="314"/>
      <c r="V64" s="315" t="str">
        <f t="shared" si="2"/>
        <v/>
      </c>
      <c r="W64" s="316"/>
      <c r="X64" s="317"/>
      <c r="Y64" s="318" t="str">
        <f t="shared" si="5"/>
        <v/>
      </c>
      <c r="Z64" s="309"/>
      <c r="AA64" s="310"/>
      <c r="AB64" s="68" t="str">
        <f t="shared" si="10"/>
        <v/>
      </c>
    </row>
    <row r="65" spans="1:28" s="3" customFormat="1" x14ac:dyDescent="0.3">
      <c r="A65" s="193">
        <f>IF(ISBLANK(#REF!),"",A64+1)</f>
        <v>63</v>
      </c>
      <c r="B65" s="29" t="s">
        <v>49</v>
      </c>
      <c r="C65" s="30">
        <v>0.125</v>
      </c>
      <c r="D65" s="31">
        <v>46200</v>
      </c>
      <c r="E65" s="319" t="s">
        <v>56</v>
      </c>
      <c r="F65" s="320" t="s">
        <v>50</v>
      </c>
      <c r="G65" s="286"/>
      <c r="H65" s="262"/>
      <c r="I65" s="263"/>
      <c r="J65" s="33"/>
      <c r="K65" s="36"/>
      <c r="L65" s="37"/>
      <c r="M65" s="38"/>
      <c r="N65" s="264"/>
      <c r="O65" s="287"/>
      <c r="P65" s="41" t="str">
        <f t="shared" si="0"/>
        <v/>
      </c>
      <c r="Q65" s="266"/>
      <c r="R65" s="288"/>
      <c r="S65" s="44" t="str">
        <f t="shared" si="1"/>
        <v/>
      </c>
      <c r="T65" s="262"/>
      <c r="U65" s="289"/>
      <c r="V65" s="47" t="str">
        <f t="shared" si="2"/>
        <v/>
      </c>
      <c r="W65" s="268"/>
      <c r="X65" s="290"/>
      <c r="Y65" s="50" t="str">
        <f t="shared" si="5"/>
        <v/>
      </c>
      <c r="Z65" s="264"/>
      <c r="AA65" s="287"/>
      <c r="AB65" s="51" t="str">
        <f t="shared" si="10"/>
        <v/>
      </c>
    </row>
    <row r="66" spans="1:28" s="3" customFormat="1" x14ac:dyDescent="0.3">
      <c r="A66" s="207">
        <f>IF(ISBLANK(#REF!),"",A65+1)</f>
        <v>64</v>
      </c>
      <c r="B66" s="110" t="s">
        <v>49</v>
      </c>
      <c r="C66" s="111">
        <v>0.125</v>
      </c>
      <c r="D66" s="112">
        <v>46200</v>
      </c>
      <c r="E66" s="321" t="s">
        <v>51</v>
      </c>
      <c r="F66" s="322" t="s">
        <v>55</v>
      </c>
      <c r="G66" s="293"/>
      <c r="H66" s="135"/>
      <c r="I66" s="270"/>
      <c r="J66" s="114"/>
      <c r="K66" s="117"/>
      <c r="L66" s="118"/>
      <c r="M66" s="119"/>
      <c r="N66" s="132"/>
      <c r="O66" s="133"/>
      <c r="P66" s="122" t="str">
        <f t="shared" si="0"/>
        <v/>
      </c>
      <c r="Q66" s="123"/>
      <c r="R66" s="124"/>
      <c r="S66" s="125" t="str">
        <f t="shared" si="1"/>
        <v/>
      </c>
      <c r="T66" s="135"/>
      <c r="U66" s="136"/>
      <c r="V66" s="128" t="str">
        <f t="shared" si="2"/>
        <v/>
      </c>
      <c r="W66" s="129"/>
      <c r="X66" s="130"/>
      <c r="Y66" s="131" t="str">
        <f t="shared" si="5"/>
        <v/>
      </c>
      <c r="Z66" s="132"/>
      <c r="AA66" s="133"/>
      <c r="AB66" s="134" t="str">
        <f t="shared" si="10"/>
        <v/>
      </c>
    </row>
    <row r="67" spans="1:28" s="3" customFormat="1" x14ac:dyDescent="0.3">
      <c r="A67" s="207">
        <f>IF(ISBLANK(#REF!),"",A66+1)</f>
        <v>65</v>
      </c>
      <c r="B67" s="110" t="s">
        <v>52</v>
      </c>
      <c r="C67" s="111">
        <v>0.25</v>
      </c>
      <c r="D67" s="112">
        <v>46200</v>
      </c>
      <c r="E67" s="323" t="s">
        <v>58</v>
      </c>
      <c r="F67" s="324" t="s">
        <v>53</v>
      </c>
      <c r="G67" s="293"/>
      <c r="H67" s="135"/>
      <c r="I67" s="270"/>
      <c r="J67" s="114"/>
      <c r="K67" s="117"/>
      <c r="L67" s="118"/>
      <c r="M67" s="119"/>
      <c r="N67" s="132"/>
      <c r="O67" s="133"/>
      <c r="P67" s="122" t="str">
        <f t="shared" si="0"/>
        <v/>
      </c>
      <c r="Q67" s="123"/>
      <c r="R67" s="124"/>
      <c r="S67" s="125" t="str">
        <f t="shared" si="1"/>
        <v/>
      </c>
      <c r="T67" s="135"/>
      <c r="U67" s="136"/>
      <c r="V67" s="128" t="str">
        <f t="shared" si="2"/>
        <v/>
      </c>
      <c r="W67" s="129"/>
      <c r="X67" s="130"/>
      <c r="Y67" s="131" t="str">
        <f t="shared" si="5"/>
        <v/>
      </c>
      <c r="Z67" s="132"/>
      <c r="AA67" s="133"/>
      <c r="AB67" s="134" t="str">
        <f t="shared" si="10"/>
        <v/>
      </c>
    </row>
    <row r="68" spans="1:28" s="3" customFormat="1" ht="19.5" thickBot="1" x14ac:dyDescent="0.35">
      <c r="A68" s="54">
        <f>IF(ISBLANK(#REF!),"",A67+1)</f>
        <v>66</v>
      </c>
      <c r="B68" s="298" t="s">
        <v>52</v>
      </c>
      <c r="C68" s="299">
        <v>0.25</v>
      </c>
      <c r="D68" s="300">
        <v>46200</v>
      </c>
      <c r="E68" s="325" t="s">
        <v>54</v>
      </c>
      <c r="F68" s="326" t="s">
        <v>57</v>
      </c>
      <c r="G68" s="327"/>
      <c r="H68" s="304"/>
      <c r="I68" s="305"/>
      <c r="J68" s="328"/>
      <c r="K68" s="307"/>
      <c r="L68" s="308"/>
      <c r="M68" s="282"/>
      <c r="N68" s="309"/>
      <c r="O68" s="310"/>
      <c r="P68" s="134" t="str">
        <f t="shared" si="0"/>
        <v/>
      </c>
      <c r="Q68" s="311"/>
      <c r="R68" s="312"/>
      <c r="S68" s="313" t="str">
        <f t="shared" si="1"/>
        <v/>
      </c>
      <c r="T68" s="304"/>
      <c r="U68" s="314"/>
      <c r="V68" s="315" t="str">
        <f t="shared" si="2"/>
        <v/>
      </c>
      <c r="W68" s="316"/>
      <c r="X68" s="317"/>
      <c r="Y68" s="318" t="str">
        <f t="shared" si="5"/>
        <v/>
      </c>
      <c r="Z68" s="309"/>
      <c r="AA68" s="310"/>
      <c r="AB68" s="68" t="str">
        <f t="shared" si="10"/>
        <v/>
      </c>
    </row>
    <row r="69" spans="1:28" s="3" customFormat="1" x14ac:dyDescent="0.3">
      <c r="A69" s="193">
        <f>IF(ISBLANK(#REF!),"",A68+1)</f>
        <v>67</v>
      </c>
      <c r="B69" s="29" t="s">
        <v>72</v>
      </c>
      <c r="C69" s="30">
        <v>0</v>
      </c>
      <c r="D69" s="31">
        <v>46201</v>
      </c>
      <c r="E69" s="319" t="s">
        <v>76</v>
      </c>
      <c r="F69" s="320" t="s">
        <v>73</v>
      </c>
      <c r="G69" s="286"/>
      <c r="H69" s="262"/>
      <c r="I69" s="263"/>
      <c r="J69" s="33"/>
      <c r="K69" s="36"/>
      <c r="L69" s="37"/>
      <c r="M69" s="38"/>
      <c r="N69" s="264"/>
      <c r="O69" s="287"/>
      <c r="P69" s="41" t="str">
        <f t="shared" ref="P69:P74" si="18">IF(ISBLANK(H69),"",(IF((N69=H69)*AND(I69=O69),3,(IF(H69-I69=N69-O69,2,(IF((H69&gt;I69)*AND(N69&gt;O69),1,IF((H69&lt;I69)*AND(N69&lt;O69),1,0))))))))</f>
        <v/>
      </c>
      <c r="Q69" s="266"/>
      <c r="R69" s="288"/>
      <c r="S69" s="44" t="str">
        <f t="shared" ref="S69:S74" si="19">IF(ISBLANK(H69),"",(IF((Q69=H69)*AND(I69=R69),3,(IF(H69-I69=Q69-R69,2,(IF((H69&gt;I69)*AND(Q69&gt;R69),1,IF((H69&lt;I69)*AND(Q69&lt;R69),1,0))))))))</f>
        <v/>
      </c>
      <c r="T69" s="262"/>
      <c r="U69" s="289"/>
      <c r="V69" s="47" t="str">
        <f t="shared" ref="V69:V74" si="20">IF(ISBLANK(H69),"",(IF((T69=H69)*AND(I69=U69),3,(IF(H69-I69=T69-U69,2,(IF((H69&gt;I69)*AND(T69&gt;U69),1,IF((H69&lt;I69)*AND(T69&lt;U69),1,0))))))))</f>
        <v/>
      </c>
      <c r="W69" s="268"/>
      <c r="X69" s="290"/>
      <c r="Y69" s="50" t="str">
        <f t="shared" si="5"/>
        <v/>
      </c>
      <c r="Z69" s="264"/>
      <c r="AA69" s="287"/>
      <c r="AB69" s="51" t="str">
        <f t="shared" si="10"/>
        <v/>
      </c>
    </row>
    <row r="70" spans="1:28" s="3" customFormat="1" x14ac:dyDescent="0.3">
      <c r="A70" s="207">
        <f>IF(ISBLANK(#REF!),"",A69+1)</f>
        <v>68</v>
      </c>
      <c r="B70" s="110" t="s">
        <v>72</v>
      </c>
      <c r="C70" s="111">
        <v>0</v>
      </c>
      <c r="D70" s="112">
        <v>46201</v>
      </c>
      <c r="E70" s="321" t="s">
        <v>74</v>
      </c>
      <c r="F70" s="322" t="s">
        <v>75</v>
      </c>
      <c r="G70" s="293"/>
      <c r="H70" s="135"/>
      <c r="I70" s="270"/>
      <c r="J70" s="114"/>
      <c r="K70" s="117"/>
      <c r="L70" s="118"/>
      <c r="M70" s="119"/>
      <c r="N70" s="132"/>
      <c r="O70" s="133"/>
      <c r="P70" s="122" t="str">
        <f t="shared" si="18"/>
        <v/>
      </c>
      <c r="Q70" s="123"/>
      <c r="R70" s="124"/>
      <c r="S70" s="125" t="str">
        <f t="shared" si="19"/>
        <v/>
      </c>
      <c r="T70" s="135"/>
      <c r="U70" s="136"/>
      <c r="V70" s="128" t="str">
        <f t="shared" si="20"/>
        <v/>
      </c>
      <c r="W70" s="129"/>
      <c r="X70" s="130"/>
      <c r="Y70" s="131" t="str">
        <f t="shared" ref="Y70:Y74" si="21">IF(ISBLANK(H70),"",(IF((W70=H70)*AND(I70=X70),3,(IF(H70-I70=W70-X70,2,(IF((H70&gt;I70)*AND(W70&gt;X70),1,IF((H70&lt;I70)*AND(W70&lt;X70),1,0))))))))</f>
        <v/>
      </c>
      <c r="Z70" s="132"/>
      <c r="AA70" s="133"/>
      <c r="AB70" s="134" t="str">
        <f t="shared" si="10"/>
        <v/>
      </c>
    </row>
    <row r="71" spans="1:28" s="3" customFormat="1" x14ac:dyDescent="0.3">
      <c r="A71" s="207">
        <f>IF(ISBLANK(#REF!),"",A70+1)</f>
        <v>69</v>
      </c>
      <c r="B71" s="110" t="s">
        <v>69</v>
      </c>
      <c r="C71" s="111">
        <v>0.10416666666666667</v>
      </c>
      <c r="D71" s="112">
        <v>46201</v>
      </c>
      <c r="E71" s="323" t="s">
        <v>78</v>
      </c>
      <c r="F71" s="324" t="s">
        <v>70</v>
      </c>
      <c r="G71" s="293"/>
      <c r="H71" s="135"/>
      <c r="I71" s="270"/>
      <c r="J71" s="114"/>
      <c r="K71" s="117"/>
      <c r="L71" s="118"/>
      <c r="M71" s="119"/>
      <c r="N71" s="132"/>
      <c r="O71" s="133"/>
      <c r="P71" s="122" t="str">
        <f t="shared" si="18"/>
        <v/>
      </c>
      <c r="Q71" s="123"/>
      <c r="R71" s="124"/>
      <c r="S71" s="125" t="str">
        <f t="shared" si="19"/>
        <v/>
      </c>
      <c r="T71" s="135"/>
      <c r="U71" s="136"/>
      <c r="V71" s="128" t="str">
        <f t="shared" si="20"/>
        <v/>
      </c>
      <c r="W71" s="129"/>
      <c r="X71" s="130"/>
      <c r="Y71" s="131" t="str">
        <f t="shared" si="21"/>
        <v/>
      </c>
      <c r="Z71" s="132"/>
      <c r="AA71" s="133"/>
      <c r="AB71" s="134" t="str">
        <f t="shared" si="10"/>
        <v/>
      </c>
    </row>
    <row r="72" spans="1:28" s="3" customFormat="1" x14ac:dyDescent="0.3">
      <c r="A72" s="207">
        <f>IF(ISBLANK(#REF!),"",A71+1)</f>
        <v>70</v>
      </c>
      <c r="B72" s="110" t="s">
        <v>69</v>
      </c>
      <c r="C72" s="111">
        <v>0.10416666666666667</v>
      </c>
      <c r="D72" s="112">
        <v>46201</v>
      </c>
      <c r="E72" s="321" t="s">
        <v>71</v>
      </c>
      <c r="F72" s="322" t="s">
        <v>77</v>
      </c>
      <c r="G72" s="293"/>
      <c r="H72" s="135"/>
      <c r="I72" s="270"/>
      <c r="J72" s="114"/>
      <c r="K72" s="117"/>
      <c r="L72" s="118"/>
      <c r="M72" s="119"/>
      <c r="N72" s="132"/>
      <c r="O72" s="133"/>
      <c r="P72" s="122" t="str">
        <f t="shared" si="18"/>
        <v/>
      </c>
      <c r="Q72" s="123"/>
      <c r="R72" s="124"/>
      <c r="S72" s="125" t="str">
        <f t="shared" si="19"/>
        <v/>
      </c>
      <c r="T72" s="135"/>
      <c r="U72" s="136"/>
      <c r="V72" s="128" t="str">
        <f t="shared" si="20"/>
        <v/>
      </c>
      <c r="W72" s="129"/>
      <c r="X72" s="130"/>
      <c r="Y72" s="131" t="str">
        <f t="shared" si="21"/>
        <v/>
      </c>
      <c r="Z72" s="132"/>
      <c r="AA72" s="133"/>
      <c r="AB72" s="134" t="str">
        <f t="shared" si="10"/>
        <v/>
      </c>
    </row>
    <row r="73" spans="1:28" s="3" customFormat="1" x14ac:dyDescent="0.3">
      <c r="A73" s="207">
        <f>IF(ISBLANK(#REF!),"",A72+1)</f>
        <v>71</v>
      </c>
      <c r="B73" s="110" t="s">
        <v>64</v>
      </c>
      <c r="C73" s="111">
        <v>0.20833333333333334</v>
      </c>
      <c r="D73" s="112">
        <v>46201</v>
      </c>
      <c r="E73" s="323" t="s">
        <v>66</v>
      </c>
      <c r="F73" s="324" t="s">
        <v>67</v>
      </c>
      <c r="G73" s="293"/>
      <c r="H73" s="135"/>
      <c r="I73" s="270"/>
      <c r="J73" s="114"/>
      <c r="K73" s="117"/>
      <c r="L73" s="118"/>
      <c r="M73" s="119"/>
      <c r="N73" s="132"/>
      <c r="O73" s="133"/>
      <c r="P73" s="122" t="str">
        <f t="shared" si="18"/>
        <v/>
      </c>
      <c r="Q73" s="123"/>
      <c r="R73" s="124"/>
      <c r="S73" s="125" t="str">
        <f t="shared" si="19"/>
        <v/>
      </c>
      <c r="T73" s="135"/>
      <c r="U73" s="136"/>
      <c r="V73" s="128" t="str">
        <f t="shared" si="20"/>
        <v/>
      </c>
      <c r="W73" s="129"/>
      <c r="X73" s="130"/>
      <c r="Y73" s="131" t="str">
        <f t="shared" si="21"/>
        <v/>
      </c>
      <c r="Z73" s="132"/>
      <c r="AA73" s="133"/>
      <c r="AB73" s="134" t="str">
        <f t="shared" si="10"/>
        <v/>
      </c>
    </row>
    <row r="74" spans="1:28" s="3" customFormat="1" ht="19.5" thickBot="1" x14ac:dyDescent="0.35">
      <c r="A74" s="54">
        <f>IF(ISBLANK(#REF!),"",A73+1)</f>
        <v>72</v>
      </c>
      <c r="B74" s="55" t="s">
        <v>64</v>
      </c>
      <c r="C74" s="56">
        <v>0.20833333333333334</v>
      </c>
      <c r="D74" s="57">
        <v>46201</v>
      </c>
      <c r="E74" s="329" t="s">
        <v>68</v>
      </c>
      <c r="F74" s="330" t="s">
        <v>65</v>
      </c>
      <c r="G74" s="283"/>
      <c r="H74" s="137"/>
      <c r="I74" s="276"/>
      <c r="J74" s="60"/>
      <c r="K74" s="63"/>
      <c r="L74" s="64"/>
      <c r="M74" s="65"/>
      <c r="N74" s="107"/>
      <c r="O74" s="108"/>
      <c r="P74" s="68" t="str">
        <f t="shared" si="18"/>
        <v/>
      </c>
      <c r="Q74" s="101"/>
      <c r="R74" s="102"/>
      <c r="S74" s="71" t="str">
        <f t="shared" si="19"/>
        <v/>
      </c>
      <c r="T74" s="137"/>
      <c r="U74" s="138"/>
      <c r="V74" s="74" t="str">
        <f t="shared" si="20"/>
        <v/>
      </c>
      <c r="W74" s="105"/>
      <c r="X74" s="106"/>
      <c r="Y74" s="77" t="str">
        <f t="shared" si="21"/>
        <v/>
      </c>
      <c r="Z74" s="107"/>
      <c r="AA74" s="108"/>
      <c r="AB74" s="68" t="str">
        <f t="shared" si="10"/>
        <v/>
      </c>
    </row>
  </sheetData>
  <mergeCells count="6">
    <mergeCell ref="K1:M1"/>
    <mergeCell ref="N1:P1"/>
    <mergeCell ref="Q1:S1"/>
    <mergeCell ref="T1:V1"/>
    <mergeCell ref="W1:Y1"/>
    <mergeCell ref="Z1:AB1"/>
  </mergeCells>
  <conditionalFormatting sqref="M3:M52 P3:P74 S3:S74 V3:V74 Y3:Y74">
    <cfRule type="cellIs" dxfId="11" priority="25" operator="equal">
      <formula>3</formula>
    </cfRule>
    <cfRule type="cellIs" dxfId="10" priority="26" operator="equal">
      <formula>2</formula>
    </cfRule>
    <cfRule type="cellIs" dxfId="9" priority="27" operator="equal">
      <formula>1</formula>
    </cfRule>
    <cfRule type="cellIs" dxfId="8" priority="28" operator="equal">
      <formula>0</formula>
    </cfRule>
  </conditionalFormatting>
  <conditionalFormatting sqref="AB3:AB24">
    <cfRule type="cellIs" dxfId="7" priority="21" operator="equal">
      <formula>3</formula>
    </cfRule>
    <cfRule type="cellIs" dxfId="6" priority="22" operator="equal">
      <formula>2</formula>
    </cfRule>
    <cfRule type="cellIs" dxfId="5" priority="23" operator="equal">
      <formula>1</formula>
    </cfRule>
    <cfRule type="cellIs" dxfId="4" priority="24" operator="equal">
      <formula>0</formula>
    </cfRule>
  </conditionalFormatting>
  <conditionalFormatting sqref="AB25:AB74">
    <cfRule type="cellIs" dxfId="3" priority="13" operator="equal">
      <formula>3</formula>
    </cfRule>
    <cfRule type="cellIs" dxfId="2" priority="14" operator="equal">
      <formula>2</formula>
    </cfRule>
    <cfRule type="cellIs" dxfId="1" priority="15" operator="equal">
      <formula>1</formula>
    </cfRule>
    <cfRule type="cellIs" dxfId="0" priority="16" operator="equal">
      <formula>0</formula>
    </cfRule>
  </conditionalFormatting>
  <printOptions horizontalCentered="1" verticalCentered="1"/>
  <pageMargins left="0.19685039370078741" right="0.19685039370078741" top="0.47244094488188981" bottom="0.47244094488188981" header="0" footer="0"/>
  <pageSetup paperSize="9" scale="7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ЧМ 2026 Group</vt:lpstr>
      <vt:lpstr>'ЧМ 2026 Group'!Заголовки_для_печати</vt:lpstr>
      <vt:lpstr>'ЧМ 2026 Group'!Область_печати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JOB</dc:creator>
  <cp:lastModifiedBy>JOB</cp:lastModifiedBy>
  <dcterms:created xsi:type="dcterms:W3CDTF">2026-06-10T10:59:57Z</dcterms:created>
  <dcterms:modified xsi:type="dcterms:W3CDTF">2026-06-10T21:45:18Z</dcterms:modified>
</cp:coreProperties>
</file>